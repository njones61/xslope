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fem/files/"/>
    </mc:Choice>
  </mc:AlternateContent>
  <xr:revisionPtr revIDLastSave="0" documentId="13_ncr:1_{DB89E2EC-4267-B542-9954-775340309466}" xr6:coauthVersionLast="47" xr6:coauthVersionMax="47" xr10:uidLastSave="{00000000-0000-0000-0000-000000000000}"/>
  <bookViews>
    <workbookView xWindow="31100" yWindow="5880" windowWidth="37700" windowHeight="2062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<sst xmlns="http://schemas.openxmlformats.org/spreadsheetml/2006/main" count="356" uniqueCount="179">
  <si>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</si>
  <si>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</si>
  <si>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</si>
  <si>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</si>
  <si>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</si>
  <si>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</si>
  <si>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</si>
  <si>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</si>
  <si>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</si>
  <si>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</si>
  <si>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</si>
  <si>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</si>
  <si>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</si>
  <si>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</si>
  <si>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</si>
  <si>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</si>
  <si>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</si>
  <si>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</si>
  <si>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</si>
  <si>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</si>
  <si>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</si>
  <si>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</si>
  <si>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</si>
  <si>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</si>
  <si>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</si>
  <si>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</si>
  <si>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</si>
  <si>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</si>
  <si>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</si>
  <si>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</si>
  <si>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</si>
  <si>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</si>
  <si>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</si>
  <si>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</si>
  <si>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</si>
  <si>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</si>
  <si>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</si>
  <si>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</si>
  <si>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</si>
  <si>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</si>
  <si>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</si>
  <si>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</si>
  <si>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</si>
  <si>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</si>
  <si>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</si>
  <si>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</si>
  <si>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</si>
  <si>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</si>
  <si>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</si>
  <si>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</si>
  <si>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</si>
  <si>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</si>
  <si>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</si>
  <si>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</si>
  <si>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</si>
  <si>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</si>
  <si>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</si>
  <si>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</si>
  <si>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</si>
  <si>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</si>
  <si>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</si>
  <si>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</si>
  <si>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</si>
  <si>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</si>
  <si>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</si>
  <si>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</si>
  <si>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</si>
  <si>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</si>
  <si>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</si>
  <si>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</si>
  <si>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</si>
  <si>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</si>
  <si>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</si>
  <si>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</si>
  <si>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</si>
  <si>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</si>
  <si>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</si>
  <si>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</si>
  <si>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</si>
  <si>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</si>
  <si>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</si>
  <si>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</si>
  <si>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</si>
  <si>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</si>
  <si>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</si>
  <si>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</si>
  <si>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</si>
  <si>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</si>
  <si>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</si>
  <si>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</si>
  <si>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</si>
  <si>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</si>
  <si>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</si>
  <si>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</si>
  <si>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</si>
  <si>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</si>
  <si>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</si>
  <si>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</si>
  <si>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</si>
  <si>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</si>
  <si>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</si>
  <si>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</si>
  <si>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</si>
  <si>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</si>
  <si>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</si>
  <si>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</si>
  <si>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</si>
  <si>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</si>
  <si>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</si>
  <si>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</si>
  <si>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</si>
  <si>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</si>
  <si>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</si>
  <si>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</si>
  <si>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</si>
  <si>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</si>
  <si>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</si>
  <si>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</si>
  <si>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</si>
  <si>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</si>
  <si>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</si>
  <si>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</si>
  <si>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</si>
  <si>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</si>
  <si>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</si>
  <si>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</si>
  <si>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</si>
  <si>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</si>
  <si>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</si>
  <si>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</si>
  <si>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</si>
  <si>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</si>
  <si>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</si>
  <si>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</si>
  <si>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</si>
  <si>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</si>
  <si>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</si>
  <si>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</si>
  <si>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</si>
  <si>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</si>
  <si>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</si>
  <si>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</si>
  <si>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</si>
  <si>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</si>
  <si>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</si>
  <si>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</si>
  <si>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</si>
  <si>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</si>
  <si>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</si>
  <si>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</si>
  <si>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</si>
  <si>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</si>
  <si>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</si>
  <si>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</si>
  <si>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</si>
  <si>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</si>
  <si>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</si>
  <si>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</si>
  <si>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</si>
  <si>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</si>
  <si>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</si>
  <si>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</si>
  <si>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</si>
  <si>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</si>
  <si>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</si>
  <si>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</si>
  <si>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</si>
  <si>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</si>
  <si>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label</t>
  </si>
  <si>
    <t>H</t>
  </si>
  <si>
    <t>theta</t>
  </si>
  <si>
    <t>D</t>
  </si>
  <si>
    <t>S</t>
  </si>
  <si>
    <t>I</t>
  </si>
  <si>
    <t>Required for LEM only</t>
  </si>
  <si>
    <t>Optional</t>
  </si>
  <si>
    <t xml:space="preserve">Polygons coordinates can be input in CW or CCW order. </t>
  </si>
  <si>
    <t>soil</t>
  </si>
  <si>
    <t>pile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</si>
</sst>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0" fillId="14" borderId="0" xfId="0" applyFill="1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-30</c:v>
                </c:pt>
                <c:pt idx="1">
                  <c:v>0</c:v>
                </c:pt>
                <c:pt idx="2">
                  <c:v>30</c:v>
                </c:pt>
                <c:pt idx="3">
                  <c:v>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  <c:pt idx="0">
                  <c:v>6.67</c:v>
                </c:pt>
                <c:pt idx="1">
                  <c:v>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E198-1942-8CC0-5F5B615D56D7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ser>
          <c:idx val="87"/>
          <c:order val="87"/>
          <c:tx>
            <c:v>Pile #11</c:v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E198-1942-8CC0-5F5B615D56D7}"/>
              </c:ext>
            </c:extLst>
          </c:dPt>
          <c:xVal>
            <c:numRef>
              <c:f>(piles!$C$13,piles!$E$13)</c:f>
              <c:numCache>
                <c:formatCode>General</c:formatCode>
                <c:ptCount val="2"/>
              </c:numCache>
            </c:numRef>
          </c:xVal>
          <c:yVal>
            <c:numRef>
              <c:f>(piles!$D$13,piles!$F$13)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A2F6-274C-9E15-3D60CC318540}"/>
            </c:ext>
          </c:extLst>
        </c:ser>
        <c:ser>
          <c:idx val="88"/>
          <c:order val="88"/>
          <c:tx>
            <c:v>Pile #12</c:v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(piles!$C$14,piles!$E$14)</c:f>
              <c:numCache>
                <c:formatCode>General</c:formatCode>
                <c:ptCount val="2"/>
              </c:numCache>
            </c:numRef>
          </c:xVal>
          <c:yVal>
            <c:numRef>
              <c:f>(piles!$D$14,piles!$F$14)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A2F6-274C-9E15-3D60CC318540}"/>
            </c:ext>
          </c:extLst>
        </c:ser>
        <c:ser>
          <c:idx val="89"/>
          <c:order val="89"/>
          <c:tx>
            <c:v>Pile #13</c:v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(piles!$C$15,piles!$E$15)</c:f>
              <c:numCache>
                <c:formatCode>General</c:formatCode>
                <c:ptCount val="2"/>
              </c:numCache>
            </c:numRef>
          </c:xVal>
          <c:yVal>
            <c:numRef>
              <c:f>(piles!$D$15,piles!$F$15)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A2F6-274C-9E15-3D60CC318540}"/>
            </c:ext>
          </c:extLst>
        </c:ser>
        <c:ser>
          <c:idx val="90"/>
          <c:order val="90"/>
          <c:tx>
            <c:v>Pile #14</c:v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(piles!$C$16,piles!$E$16)</c:f>
              <c:numCache>
                <c:formatCode>General</c:formatCode>
                <c:ptCount val="2"/>
              </c:numCache>
            </c:numRef>
          </c:xVal>
          <c:yVal>
            <c:numRef>
              <c:f>(piles!$D$16,piles!$F$16)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A2F6-274C-9E15-3D60CC318540}"/>
            </c:ext>
          </c:extLst>
        </c:ser>
        <c:ser>
          <c:idx val="91"/>
          <c:order val="91"/>
          <c:tx>
            <c:v>Pile #15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(piles!$C$17,piles!$E$17)</c:f>
              <c:numCache>
                <c:formatCode>General</c:formatCode>
                <c:ptCount val="2"/>
              </c:numCache>
            </c:numRef>
          </c:xVal>
          <c:yVal>
            <c:numRef>
              <c:f>(piles!$D$17,piles!$F$17)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A2F6-274C-9E15-3D60CC318540}"/>
            </c:ext>
          </c:extLst>
        </c:ser>
        <c:ser>
          <c:idx val="92"/>
          <c:order val="92"/>
          <c:tx>
            <c:v>Pile #16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(piles!$C$18,piles!$E$18)</c:f>
              <c:numCache>
                <c:formatCode>General</c:formatCode>
                <c:ptCount val="2"/>
              </c:numCache>
            </c:numRef>
          </c:xVal>
          <c:yVal>
            <c:numRef>
              <c:f>(piles!$D$18,piles!$F$18)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A2F6-274C-9E15-3D60CC318540}"/>
            </c:ext>
          </c:extLst>
        </c:ser>
        <c:ser>
          <c:idx val="93"/>
          <c:order val="93"/>
          <c:tx>
            <c:v>Pile #17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(piles!$C$19,piles!$E$19)</c:f>
              <c:numCache>
                <c:formatCode>General</c:formatCode>
                <c:ptCount val="2"/>
              </c:numCache>
            </c:numRef>
          </c:xVal>
          <c:yVal>
            <c:numRef>
              <c:f>(piles!$D$19,piles!$F$19)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A2F6-274C-9E15-3D60CC318540}"/>
            </c:ext>
          </c:extLst>
        </c:ser>
        <c:ser>
          <c:idx val="94"/>
          <c:order val="94"/>
          <c:tx>
            <c:v>Pile #18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(piles!$C$20,piles!$E$20)</c:f>
              <c:numCache>
                <c:formatCode>General</c:formatCode>
                <c:ptCount val="2"/>
              </c:numCache>
            </c:numRef>
          </c:xVal>
          <c:yVal>
            <c:numRef>
              <c:f>(piles!$D$20,piles!$F$20)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A2F6-274C-9E15-3D60CC318540}"/>
            </c:ext>
          </c:extLst>
        </c:ser>
        <c:ser>
          <c:idx val="95"/>
          <c:order val="95"/>
          <c:tx>
            <c:v>Pile #19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(piles!$C$21,piles!$E$21)</c:f>
              <c:numCache>
                <c:formatCode>General</c:formatCode>
                <c:ptCount val="2"/>
              </c:numCache>
            </c:numRef>
          </c:xVal>
          <c:yVal>
            <c:numRef>
              <c:f>(piles!$D$21,piles!$F$21)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A2F6-274C-9E15-3D60CC318540}"/>
            </c:ext>
          </c:extLst>
        </c:ser>
        <c:ser>
          <c:idx val="96"/>
          <c:order val="96"/>
          <c:tx>
            <c:v>Pile #20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(piles!$C$22,piles!$E$22)</c:f>
              <c:numCache>
                <c:formatCode>General</c:formatCode>
                <c:ptCount val="2"/>
              </c:numCache>
            </c:numRef>
          </c:xVal>
          <c:yVal>
            <c:numRef>
              <c:f>(piles!$D$22,piles!$F$22)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553357</xdr:colOff>
      <xdr:row>2</xdr:row>
      <xdr:rowOff>99787</xdr:rowOff>
    </xdr:from>
    <xdr:to>
      <xdr:col>19</xdr:col>
      <xdr:colOff>27214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0885714" y="498930"/>
          <a:ext cx="4426857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endParaRPr lang="en-US" sz="1100" baseline="0"/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endParaRPr lang="en-US" sz="1100" baseline="0"/>
        </a:p>
        <a:p>
          <a:r>
            <a:rPr lang="en-US" sz="1100" b="1" baseline="0"/>
            <a:t>theta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(default 0°; positive = upward)</a:t>
          </a:r>
        </a:p>
        <a:p>
          <a:endParaRPr lang="en-US" sz="1100" baseline="0"/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</a:t>
          </a:r>
        </a:p>
        <a:p>
          <a:endParaRPr lang="en-US" sz="1100" baseline="0"/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(computed from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</a:t>
          </a:r>
          <a:r>
            <a:rPr lang="ar-AE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omitted)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(computed from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</a:t>
          </a:r>
          <a:r>
            <a:rPr lang="ar-AE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omitted)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50" t="s">
        <v>47</v>
      </c>
      <c r="C7" s="50"/>
      <c r="D7" s="50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P7" sqref="P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C1" zoomScale="140" zoomScaleNormal="140" workbookViewId="0">
      <selection activeCell="W10" sqref="W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51" t="s">
        <v>57</v>
      </c>
      <c r="D7" s="51"/>
      <c r="E7" s="51"/>
      <c r="F7" s="51"/>
      <c r="G7" s="51"/>
      <c r="H7" s="51"/>
      <c r="I7" s="51"/>
      <c r="J7" s="51"/>
      <c r="K7" s="1"/>
      <c r="L7" s="51" t="s">
        <v>58</v>
      </c>
      <c r="M7" s="51"/>
      <c r="N7" s="51"/>
      <c r="O7" s="51"/>
      <c r="P7" s="51"/>
      <c r="Q7" s="51"/>
      <c r="R7" s="51" t="s">
        <v>93</v>
      </c>
      <c r="S7" s="51"/>
      <c r="T7" s="51"/>
      <c r="U7" s="51"/>
      <c r="V7" s="51"/>
      <c r="W7" s="51" t="s">
        <v>100</v>
      </c>
      <c r="X7" s="51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177</v>
      </c>
      <c r="C9" s="3">
        <v>120</v>
      </c>
      <c r="D9" s="3" t="s">
        <v>67</v>
      </c>
      <c r="E9" s="3">
        <v>200</v>
      </c>
      <c r="F9" s="3">
        <v>10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>
        <v>500000</v>
      </c>
      <c r="X9" s="3">
        <v>0.35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N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G15" activeCellId="1" sqref="E22 G15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94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114</v>
      </c>
      <c r="AF4" s="47"/>
      <c r="AG4" s="1"/>
      <c r="AH4" s="47" t="s">
        <v>115</v>
      </c>
      <c r="AI4" s="47"/>
      <c r="AJ4" s="1"/>
      <c r="AK4" s="47" t="s">
        <v>116</v>
      </c>
      <c r="AL4" s="47"/>
      <c r="AM4" s="1"/>
      <c r="AN4" s="47" t="s">
        <v>117</v>
      </c>
      <c r="AO4" s="47"/>
      <c r="AP4" s="1"/>
      <c r="AQ4" s="47" t="s">
        <v>118</v>
      </c>
      <c r="AR4" s="47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8" t="str">
        <f>_xlfn.XLOOKUP(B5,mat!$A:$A, mat!$B:$B,"") &amp; ""</f>
        <v>soil</v>
      </c>
      <c r="B6" s="49"/>
      <c r="D6" s="48" t="str">
        <f>_xlfn.XLOOKUP(E5,mat!$A:$A, mat!$B:$B,"") &amp; ""</f>
        <v/>
      </c>
      <c r="E6" s="49"/>
      <c r="G6" s="48" t="str">
        <f>_xlfn.XLOOKUP(H5,mat!$A:$A, mat!$B:$B,"") &amp; ""</f>
        <v/>
      </c>
      <c r="H6" s="49"/>
      <c r="J6" s="48" t="str">
        <f>_xlfn.XLOOKUP(K5,mat!$A:$A, mat!$B:$B,"") &amp; ""</f>
        <v/>
      </c>
      <c r="K6" s="49"/>
      <c r="M6" s="48" t="str">
        <f>_xlfn.XLOOKUP(N5,mat!$A:$A, mat!$B:$B,"") &amp; ""</f>
        <v/>
      </c>
      <c r="N6" s="49"/>
      <c r="P6" s="48" t="str">
        <f>_xlfn.XLOOKUP(Q5,mat!$A:$A, mat!$B:$B,"") &amp; ""</f>
        <v/>
      </c>
      <c r="Q6" s="49"/>
      <c r="R6" s="1"/>
      <c r="S6" s="48" t="str">
        <f>_xlfn.XLOOKUP(T5,mat!$A:$A, mat!$B:$B,"") &amp; ""</f>
        <v/>
      </c>
      <c r="T6" s="49"/>
      <c r="U6" s="1"/>
      <c r="V6" s="48" t="str">
        <f>_xlfn.XLOOKUP(W5,mat!$A:$A, mat!$B:$B,"") &amp; ""</f>
        <v/>
      </c>
      <c r="W6" s="49"/>
      <c r="X6" s="1"/>
      <c r="Y6" s="48" t="str">
        <f>_xlfn.XLOOKUP(Z5,mat!$A:$A, mat!$B:$B,"") &amp; ""</f>
        <v/>
      </c>
      <c r="Z6" s="49"/>
      <c r="AA6" s="1"/>
      <c r="AB6" s="48" t="str">
        <f>_xlfn.XLOOKUP(AC5,mat!$A:$A, mat!$B:$B,"") &amp; ""</f>
        <v/>
      </c>
      <c r="AC6" s="49"/>
      <c r="AE6" s="48" t="str">
        <f>_xlfn.XLOOKUP(AF5,mat!$A:$A, mat!$B:$B,"") &amp; ""</f>
        <v/>
      </c>
      <c r="AF6" s="49"/>
      <c r="AG6" s="1"/>
      <c r="AH6" s="48" t="str">
        <f>_xlfn.XLOOKUP(AI5,mat!$A:$A, mat!$B:$B,"") &amp; ""</f>
        <v/>
      </c>
      <c r="AI6" s="49"/>
      <c r="AJ6" s="1"/>
      <c r="AK6" s="48" t="str">
        <f>_xlfn.XLOOKUP(AL5,mat!$A:$A, mat!$B:$B,"") &amp; ""</f>
        <v/>
      </c>
      <c r="AL6" s="49"/>
      <c r="AM6" s="1"/>
      <c r="AN6" s="48" t="str">
        <f>_xlfn.XLOOKUP(AO5,mat!$A:$A, mat!$B:$B,"") &amp; ""</f>
        <v/>
      </c>
      <c r="AO6" s="49"/>
      <c r="AP6" s="1"/>
      <c r="AQ6" s="48" t="str">
        <f>_xlfn.XLOOKUP(AR5,mat!$A:$A, mat!$B:$B,"") &amp; ""</f>
        <v/>
      </c>
      <c r="AR6" s="49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topLeftCell="AA1" zoomScale="140" zoomScaleNormal="140" workbookViewId="0">
      <selection activeCell="AA8" sqref="A8:XFD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176</v>
      </c>
    </row>
    <row r="4" spans="1:44" x14ac:dyDescent="0.2">
      <c r="A4" s="47" t="s">
        <v>153</v>
      </c>
      <c r="B4" s="47"/>
      <c r="D4" s="47" t="s">
        <v>154</v>
      </c>
      <c r="E4" s="47"/>
      <c r="G4" s="47" t="s">
        <v>155</v>
      </c>
      <c r="H4" s="47"/>
      <c r="J4" s="47" t="s">
        <v>156</v>
      </c>
      <c r="K4" s="47"/>
      <c r="M4" s="47" t="s">
        <v>157</v>
      </c>
      <c r="N4" s="47"/>
      <c r="P4" s="47" t="s">
        <v>158</v>
      </c>
      <c r="Q4" s="47"/>
      <c r="R4" s="1"/>
      <c r="S4" s="47" t="s">
        <v>159</v>
      </c>
      <c r="T4" s="47"/>
      <c r="U4" s="1"/>
      <c r="V4" s="47" t="s">
        <v>160</v>
      </c>
      <c r="W4" s="47"/>
      <c r="X4" s="1"/>
      <c r="Y4" s="47" t="s">
        <v>161</v>
      </c>
      <c r="Z4" s="47"/>
      <c r="AA4" s="1"/>
      <c r="AB4" s="47" t="s">
        <v>162</v>
      </c>
      <c r="AC4" s="47"/>
      <c r="AE4" s="47" t="s">
        <v>163</v>
      </c>
      <c r="AF4" s="47"/>
      <c r="AG4" s="1"/>
      <c r="AH4" s="47" t="s">
        <v>164</v>
      </c>
      <c r="AI4" s="47"/>
      <c r="AJ4" s="1"/>
      <c r="AK4" s="47" t="s">
        <v>165</v>
      </c>
      <c r="AL4" s="47"/>
      <c r="AM4" s="1"/>
      <c r="AN4" s="47" t="s">
        <v>166</v>
      </c>
      <c r="AO4" s="47"/>
      <c r="AP4" s="1"/>
      <c r="AQ4" s="47" t="s">
        <v>167</v>
      </c>
      <c r="AR4" s="47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2" t="str">
        <f>_xlfn.XLOOKUP(B5,mat!$A:$A, mat!$B:$B,"") &amp; ""</f>
        <v>soil</v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4" t="s">
        <v>84</v>
      </c>
      <c r="B2" s="54"/>
      <c r="D2" s="55" t="s">
        <v>82</v>
      </c>
      <c r="E2" s="55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J21" sqref="J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-10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1">
      <formula>OR($D3="Intercept", $D3="Radius")</formula>
    </cfRule>
  </conditionalFormatting>
  <conditionalFormatting sqref="F3:G42">
    <cfRule type="expression" dxfId="1" priority="3">
      <formula>OR($D3="Depth",$D3="Radius")</formula>
    </cfRule>
  </conditionalFormatting>
  <conditionalFormatting sqref="H3:H42">
    <cfRule type="expression" dxfId="0" priority="2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6" t="s">
        <v>127</v>
      </c>
      <c r="C2" s="56"/>
      <c r="D2" s="56"/>
      <c r="F2" s="56" t="s">
        <v>128</v>
      </c>
      <c r="G2" s="56"/>
      <c r="H2" s="56"/>
      <c r="J2" s="56" t="s">
        <v>129</v>
      </c>
      <c r="K2" s="56"/>
      <c r="L2" s="56"/>
      <c r="N2" s="56" t="s">
        <v>130</v>
      </c>
      <c r="O2" s="56"/>
      <c r="P2" s="56"/>
      <c r="R2" s="56" t="s">
        <v>131</v>
      </c>
      <c r="S2" s="56"/>
      <c r="T2" s="56"/>
      <c r="V2" s="56" t="s">
        <v>132</v>
      </c>
      <c r="W2" s="56"/>
      <c r="X2" s="56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145</v>
      </c>
      <c r="C2" s="57"/>
      <c r="D2" s="57"/>
      <c r="F2" s="57" t="s">
        <v>146</v>
      </c>
      <c r="G2" s="57"/>
      <c r="H2" s="57"/>
      <c r="J2" s="57" t="s">
        <v>147</v>
      </c>
      <c r="K2" s="57"/>
      <c r="L2" s="57"/>
      <c r="N2" s="57" t="s">
        <v>148</v>
      </c>
      <c r="O2" s="57"/>
      <c r="P2" s="57"/>
      <c r="R2" s="57" t="s">
        <v>149</v>
      </c>
      <c r="S2" s="57"/>
      <c r="T2" s="57"/>
      <c r="V2" s="57" t="s">
        <v>150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P25"/>
  <sheetViews>
    <sheetView showGridLines="0" zoomScale="140" zoomScaleNormal="140" workbookViewId="0">
      <selection activeCell="K5" sqref="K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3" width="10.83203125" style="1"/>
  </cols>
  <sheetData>
    <row r="2" spans="1:13" x14ac:dyDescent="0.2">
      <c r="A2" s="12" t="s">
        <v>25</v>
      </c>
      <c r="B2" s="12" t="s">
        <v>168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169</v>
      </c>
      <c r="H2" s="32" t="s">
        <v>170</v>
      </c>
      <c r="I2" s="32" t="s">
        <v>171</v>
      </c>
      <c r="J2" s="32" t="s">
        <v>172</v>
      </c>
      <c r="K2" s="33" t="s">
        <v>101</v>
      </c>
      <c r="L2" s="33" t="s">
        <v>173</v>
      </c>
      <c r="M2" s="33" t="s">
        <v>107</v>
      </c>
    </row>
    <row r="3" spans="1:13" x14ac:dyDescent="0.2">
      <c r="A3" s="3">
        <v>1</v>
      </c>
      <c r="B3" s="3" t="s">
        <v>178</v>
      </c>
      <c r="C3" s="3">
        <v>10</v>
      </c>
      <c r="D3" s="3">
        <v>6.67</v>
      </c>
      <c r="E3" s="3">
        <v>10</v>
      </c>
      <c r="F3" s="3">
        <v>-10</v>
      </c>
      <c r="G3" s="3"/>
      <c r="H3" s="3"/>
      <c r="I3" s="3">
        <v>1</v>
      </c>
      <c r="J3" s="3">
        <v>6</v>
      </c>
      <c r="K3" s="3">
        <v>518400000</v>
      </c>
      <c r="L3" s="3"/>
      <c r="M3" s="3"/>
    </row>
    <row r="4" spans="1:13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3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spans="1:13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6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6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6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O19" s="46"/>
      <c r="P19" t="s">
        <v>174</v>
      </c>
    </row>
    <row r="20" spans="1:16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O20" s="31"/>
      <c r="P20" s="9" t="s">
        <v>175</v>
      </c>
    </row>
    <row r="21" spans="1:16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O21" s="34"/>
      <c r="P21" s="9" t="s">
        <v>109</v>
      </c>
    </row>
    <row r="22" spans="1:16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4" spans="1:16" x14ac:dyDescent="0.2">
      <c r="I24" s="9"/>
      <c r="J24" s="9"/>
    </row>
    <row r="25" spans="1:16" x14ac:dyDescent="0.2">
      <c r="I25" s="9"/>
      <c r="J25" s="9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8" t="s">
        <v>138</v>
      </c>
      <c r="C2" s="58"/>
      <c r="E2" s="54" t="s">
        <v>133</v>
      </c>
      <c r="F2" s="54"/>
      <c r="H2" s="54" t="s">
        <v>134</v>
      </c>
      <c r="I2" s="54"/>
      <c r="K2" s="54" t="s">
        <v>135</v>
      </c>
      <c r="L2" s="54"/>
      <c r="N2" s="54" t="s">
        <v>136</v>
      </c>
      <c r="O2" s="54"/>
      <c r="Q2" s="54" t="s">
        <v>137</v>
      </c>
      <c r="R2" s="54"/>
    </row>
    <row r="3" spans="2:18" x14ac:dyDescent="0.2">
      <c r="B3" s="58"/>
      <c r="C3" s="58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140</v>
      </c>
      <c r="C2" s="59"/>
      <c r="E2" s="55" t="s">
        <v>139</v>
      </c>
      <c r="F2" s="55"/>
      <c r="H2" s="55" t="s">
        <v>141</v>
      </c>
      <c r="I2" s="55"/>
      <c r="K2" s="55" t="s">
        <v>142</v>
      </c>
      <c r="L2" s="55"/>
      <c r="N2" s="55" t="s">
        <v>143</v>
      </c>
      <c r="O2" s="55"/>
      <c r="Q2" s="55" t="s">
        <v>144</v>
      </c>
      <c r="R2" s="55"/>
    </row>
    <row r="3" spans="2:18" x14ac:dyDescent="0.2">
      <c r="B3" s="59"/>
      <c r="C3" s="59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2026-03-21T22:37:30Z</dcterms:modified>
</cp:coreProperties>
</file>