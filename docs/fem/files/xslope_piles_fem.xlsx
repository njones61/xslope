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5CC80A1D-6F0F-7946-B56C-42AA61D9EA7B}" xr6:coauthVersionLast="47" xr6:coauthVersionMax="47" xr10:uidLastSave="{00000000-0000-0000-0000-000000000000}"/>
  <bookViews>
    <workbookView xWindow="14000" yWindow="2020" windowWidth="42700" windowHeight="228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<sst xmlns="http://schemas.openxmlformats.org/spreadsheetml/2006/main" count="358" uniqueCount="182">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</sst>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17"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30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6.67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290285</xdr:colOff>
      <xdr:row>1</xdr:row>
      <xdr:rowOff>18144</xdr:rowOff>
    </xdr:from>
    <xdr:to>
      <xdr:col>19</xdr:col>
      <xdr:colOff>680357</xdr:colOff>
      <xdr:row>10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2273642" y="217715"/>
          <a:ext cx="3156858" cy="1841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W9" sqref="W9:X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180</v>
      </c>
      <c r="C9" s="3">
        <v>120</v>
      </c>
      <c r="D9" s="3" t="s">
        <v>67</v>
      </c>
      <c r="E9" s="3">
        <v>200</v>
      </c>
      <c r="F9" s="3">
        <v>10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>
        <v>500000</v>
      </c>
      <c r="X9" s="3">
        <v>0.35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10:F50">
    <cfRule type="expression" dxfId="16" priority="4">
      <formula>$D10="cp"</formula>
    </cfRule>
  </conditionalFormatting>
  <conditionalFormatting sqref="G9:H50">
    <cfRule type="expression" dxfId="15" priority="3">
      <formula>$D9="mc"</formula>
    </cfRule>
  </conditionalFormatting>
  <conditionalFormatting sqref="I9:J50">
    <cfRule type="expression" dxfId="14" priority="5">
      <formula>$D9="cp"</formula>
    </cfRule>
  </conditionalFormatting>
  <conditionalFormatting sqref="N9:N50">
    <cfRule type="expression" dxfId="13" priority="7">
      <formula>$D9="cp"</formula>
    </cfRule>
  </conditionalFormatting>
  <conditionalFormatting sqref="O9:O50">
    <cfRule type="expression" dxfId="12" priority="14">
      <formula>$D9="mc"</formula>
    </cfRule>
  </conditionalFormatting>
  <conditionalFormatting sqref="P9:Q50">
    <cfRule type="expression" dxfId="11" priority="9">
      <formula>$D9="cp"</formula>
    </cfRule>
  </conditionalFormatting>
  <conditionalFormatting sqref="F9">
    <cfRule type="expression" dxfId="1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30" sqref="E3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114</v>
      </c>
      <c r="AF4" s="51"/>
      <c r="AG4" s="1"/>
      <c r="AH4" s="51" t="s">
        <v>115</v>
      </c>
      <c r="AI4" s="51"/>
      <c r="AJ4" s="1"/>
      <c r="AK4" s="51" t="s">
        <v>116</v>
      </c>
      <c r="AL4" s="51"/>
      <c r="AM4" s="1"/>
      <c r="AN4" s="51" t="s">
        <v>117</v>
      </c>
      <c r="AO4" s="51"/>
      <c r="AP4" s="1"/>
      <c r="AQ4" s="51" t="s">
        <v>118</v>
      </c>
      <c r="AR4" s="51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9" t="str">
        <f>_xlfn.XLOOKUP(B5,mat!$A:$A, mat!$B:$B,"") &amp; ""</f>
        <v>soil</v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1" t="s">
        <v>153</v>
      </c>
      <c r="B4" s="51"/>
      <c r="D4" s="51" t="s">
        <v>154</v>
      </c>
      <c r="E4" s="51"/>
      <c r="G4" s="51" t="s">
        <v>155</v>
      </c>
      <c r="H4" s="51"/>
      <c r="J4" s="51" t="s">
        <v>156</v>
      </c>
      <c r="K4" s="51"/>
      <c r="M4" s="51" t="s">
        <v>157</v>
      </c>
      <c r="N4" s="51"/>
      <c r="P4" s="51" t="s">
        <v>158</v>
      </c>
      <c r="Q4" s="51"/>
      <c r="R4" s="1"/>
      <c r="S4" s="51" t="s">
        <v>159</v>
      </c>
      <c r="T4" s="51"/>
      <c r="U4" s="1"/>
      <c r="V4" s="51" t="s">
        <v>160</v>
      </c>
      <c r="W4" s="51"/>
      <c r="X4" s="1"/>
      <c r="Y4" s="51" t="s">
        <v>161</v>
      </c>
      <c r="Z4" s="51"/>
      <c r="AA4" s="1"/>
      <c r="AB4" s="51" t="s">
        <v>162</v>
      </c>
      <c r="AC4" s="51"/>
      <c r="AE4" s="51" t="s">
        <v>163</v>
      </c>
      <c r="AF4" s="51"/>
      <c r="AG4" s="1"/>
      <c r="AH4" s="51" t="s">
        <v>164</v>
      </c>
      <c r="AI4" s="51"/>
      <c r="AJ4" s="1"/>
      <c r="AK4" s="51" t="s">
        <v>165</v>
      </c>
      <c r="AL4" s="51"/>
      <c r="AM4" s="1"/>
      <c r="AN4" s="51" t="s">
        <v>166</v>
      </c>
      <c r="AO4" s="51"/>
      <c r="AP4" s="1"/>
      <c r="AQ4" s="51" t="s">
        <v>167</v>
      </c>
      <c r="AR4" s="51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:E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4:E42">
    <cfRule type="expression" dxfId="10" priority="4">
      <formula>OR($D4="Intercept", $D4="Radius")</formula>
    </cfRule>
  </conditionalFormatting>
  <conditionalFormatting sqref="F3:G42">
    <cfRule type="expression" dxfId="9" priority="3">
      <formula>OR($D3="Depth",$D3="Radius")</formula>
    </cfRule>
  </conditionalFormatting>
  <conditionalFormatting sqref="H3:H42">
    <cfRule type="expression" dxfId="8" priority="2">
      <formula>OR($D3="Depth",$D3="Intercept")</formula>
    </cfRule>
  </conditionalFormatting>
  <conditionalFormatting sqref="E3">
    <cfRule type="expression" dxfId="0" priority="1">
      <formula>OR($D3="Intercept", $D3="Radius")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R15"/>
  <sheetViews>
    <sheetView showGridLines="0" tabSelected="1" zoomScale="140" zoomScaleNormal="140" workbookViewId="0">
      <selection activeCell="Q27" sqref="Q27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5" width="10.83203125" style="1"/>
    <col min="16" max="16" width="3.83203125" customWidth="1"/>
  </cols>
  <sheetData>
    <row r="2" spans="1:18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</row>
    <row r="3" spans="1:18" x14ac:dyDescent="0.2">
      <c r="A3" s="3">
        <v>1</v>
      </c>
      <c r="B3" s="3" t="s">
        <v>181</v>
      </c>
      <c r="C3" s="3">
        <v>10</v>
      </c>
      <c r="D3" s="3">
        <v>6.67</v>
      </c>
      <c r="E3" s="3">
        <v>10</v>
      </c>
      <c r="F3" s="3">
        <v>-10</v>
      </c>
      <c r="G3" s="3"/>
      <c r="H3" s="3"/>
      <c r="I3" s="3">
        <v>1</v>
      </c>
      <c r="J3" s="3">
        <v>6</v>
      </c>
      <c r="K3" s="3">
        <v>518400000</v>
      </c>
      <c r="L3" s="3"/>
      <c r="M3" s="3"/>
      <c r="N3" s="3">
        <v>25000</v>
      </c>
      <c r="O3" s="3">
        <v>40000</v>
      </c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Q12" s="60"/>
      <c r="R12" t="s">
        <v>177</v>
      </c>
    </row>
    <row r="13" spans="1:18" x14ac:dyDescent="0.2">
      <c r="Q13" s="31"/>
      <c r="R13" s="9" t="s">
        <v>178</v>
      </c>
    </row>
    <row r="14" spans="1:18" x14ac:dyDescent="0.2">
      <c r="I14" s="9"/>
      <c r="J14" s="9"/>
      <c r="Q14" s="34"/>
      <c r="R14" s="9" t="s">
        <v>179</v>
      </c>
    </row>
    <row r="15" spans="1:18" x14ac:dyDescent="0.2">
      <c r="I15" s="9"/>
      <c r="J1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2026-03-23T17:33:22Z</dcterms:modified>
</cp:coreProperties>
</file>