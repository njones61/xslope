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B6571542-1A3D-6A42-AC36-061894174704}" xr6:coauthVersionLast="47" xr6:coauthVersionMax="47" xr10:uidLastSave="{00000000-0000-0000-0000-000000000000}"/>
  <bookViews>
    <workbookView xWindow="11520" yWindow="2900" windowWidth="42700" windowHeight="22800" xr2:uid="{BA54C293-CE08-6E4C-9212-B3317DAA148E}"/>
  </bookViews>
  <sheets>
    <sheet name="main" sheetId="1" r:id="rId1"/>
    <sheet name="plot" sheetId="9" r:id="rId2"/>
    <sheet name="mat" sheetId="3" r:id="rId3"/>
    <sheet name="profile" sheetId="2" r:id="rId4"/>
    <sheet name="polygon" sheetId="15" r:id="rId5"/>
    <sheet name="piezo" sheetId="4" r:id="rId6"/>
    <sheet name="circles" sheetId="5" r:id="rId7"/>
    <sheet name="non-circ" sheetId="7" r:id="rId8"/>
    <sheet name="dloads" sheetId="8" r:id="rId9"/>
    <sheet name="dloads (2)" sheetId="13" r:id="rId10"/>
    <sheet name="reinforce" sheetId="12" r:id="rId11"/>
    <sheet name="piles" sheetId="16" r:id="rId12"/>
    <sheet name="lloads" sheetId="17" r:id="rId13"/>
    <sheet name="seep bc" sheetId="11" r:id="rId14"/>
    <sheet name="seep bc (2)" sheetId="14" r:id="rId15"/>
  </sheets>
  <definedNames>
    <definedName name="crack_depth">main!$D$9</definedName>
    <definedName name="crack_depth_water">main!$D$10</definedName>
    <definedName name="gamma_w">main!$D$8</definedName>
    <definedName name="k">main!$D$11</definedName>
    <definedName name="max_depth" localSheetId="4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<sst xmlns="http://schemas.openxmlformats.org/spreadsheetml/2006/main" count="419" uniqueCount="217">
  <si>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</si>
  <si>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</si>
  <si>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</si>
  <si>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</si>
  <si>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</si>
  <si>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</si>
  <si>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</si>
  <si>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</si>
  <si>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</si>
  <si>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</si>
  <si>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</si>
  <si>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</si>
  <si>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</si>
  <si>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</si>
  <si>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</si>
  <si>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</si>
  <si>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</si>
  <si>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</si>
  <si>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</si>
  <si>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</si>
  <si>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</si>
  <si>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</si>
  <si>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</si>
  <si>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</si>
  <si>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</si>
  <si>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</si>
  <si>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</si>
  <si>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</si>
  <si>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</si>
  <si>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</si>
  <si>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</si>
  <si>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</si>
  <si>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</si>
  <si>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</si>
  <si>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</si>
  <si>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</si>
  <si>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</si>
  <si>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</si>
  <si>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</si>
  <si>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</si>
  <si>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</si>
  <si>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</si>
  <si>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</si>
  <si>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</si>
  <si>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</si>
  <si>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</si>
  <si>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</si>
  <si>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</si>
  <si>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</si>
  <si>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</si>
  <si>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</si>
  <si>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</si>
  <si>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</si>
  <si>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</si>
  <si>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</si>
  <si>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</si>
  <si>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</si>
  <si>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Base Values</t>
  </si>
  <si>
    <t>Standard Deviations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</si>
  <si>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</si>
  <si>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</si>
  <si>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</si>
  <si>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</si>
  <si>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</si>
  <si>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</si>
  <si>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</si>
  <si>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</si>
  <si>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</si>
  <si>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</si>
  <si>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</si>
  <si>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</si>
  <si>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</si>
  <si>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</si>
  <si>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</si>
  <si>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</si>
  <si>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</si>
  <si>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</si>
  <si>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</si>
  <si>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</si>
  <si>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</si>
  <si>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</si>
  <si>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</si>
  <si>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Piezometric Line 2</t>
  </si>
  <si>
    <t>* piezometric line 2 is only required for rapid drawdown analysis</t>
  </si>
  <si>
    <t>Piezometric Line 1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</si>
  <si>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</si>
  <si>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</si>
  <si>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</si>
  <si>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</si>
  <si>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</si>
  <si>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</si>
  <si>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</si>
  <si>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</si>
  <si>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</si>
  <si>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Head:</t>
  </si>
  <si>
    <t>seep bc</t>
  </si>
  <si>
    <t>kr0</t>
  </si>
  <si>
    <t>h0</t>
  </si>
  <si>
    <t>XSLOPE Input Template</t>
  </si>
  <si>
    <t>Stress</t>
  </si>
  <si>
    <t>E</t>
  </si>
  <si>
    <t>n</t>
  </si>
  <si>
    <t>x1</t>
  </si>
  <si>
    <t>y1</t>
  </si>
  <si>
    <t>x2</t>
  </si>
  <si>
    <t>y2</t>
  </si>
  <si>
    <t>Area</t>
  </si>
  <si>
    <t>Tmax</t>
  </si>
  <si>
    <t>Lp1</t>
  </si>
  <si>
    <t>Lp2</t>
  </si>
  <si>
    <t>Tres</t>
  </si>
  <si>
    <t>Profile Line #11</t>
  </si>
  <si>
    <t>Profile Line #12</t>
  </si>
  <si>
    <t>Profile Line #13</t>
  </si>
  <si>
    <t>Profile Line #14</t>
  </si>
  <si>
    <t>Profile Line #15</t>
  </si>
  <si>
    <t>plot</t>
  </si>
  <si>
    <t>Plot of geometric inputs from other sheets</t>
  </si>
  <si>
    <t>dloads (2)</t>
  </si>
  <si>
    <t>seep bc (2)</t>
  </si>
  <si>
    <t>Distributed loads for stage 2 of multistage analysis</t>
  </si>
  <si>
    <t>Seepage boundary conditions for stage 2 of multistage analysis</t>
  </si>
  <si>
    <t>Seepage boundary conditions</t>
  </si>
  <si>
    <t>Mat ID: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</si>
  <si>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</si>
  <si>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</si>
  <si>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</si>
  <si>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</si>
  <si>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</si>
  <si>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</si>
  <si>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Specified Head #1</t>
  </si>
  <si>
    <t>Specified Head #2</t>
  </si>
  <si>
    <t>Specified Head #3</t>
  </si>
  <si>
    <t>Specified Head #4</t>
  </si>
  <si>
    <t>Specified Head #5</t>
  </si>
  <si>
    <t>Exit Face</t>
  </si>
  <si>
    <t>Specified Head #1 (2)</t>
  </si>
  <si>
    <t>Exit Face (2)</t>
  </si>
  <si>
    <t>Specified Head #2 (2)</t>
  </si>
  <si>
    <t>Specified Head #3 (2)</t>
  </si>
  <si>
    <t>Specified Head #4 (2)</t>
  </si>
  <si>
    <t>Specified Head #5 (2)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</si>
  <si>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</si>
  <si>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</si>
  <si>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</si>
  <si>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</si>
  <si>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</si>
  <si>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</si>
  <si>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psi</t>
  </si>
  <si>
    <r>
      <rPr>
        <sz val="12"/>
        <color theme="0"/>
        <rFont val="Symbol"/>
        <charset val="2"/>
      </rPr>
      <t>s(</t>
    </r>
    <r>
      <rPr>
        <sz val="12"/>
        <color theme="0"/>
        <rFont val="Aptos Narrow (Body)"/>
      </rPr>
      <t>psi</t>
    </r>
    <r>
      <rPr>
        <sz val="12"/>
        <color theme="0"/>
        <rFont val="Symbol"/>
        <charset val="2"/>
      </rPr>
      <t>)</t>
    </r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</si>
  <si>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</si>
  <si>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</si>
  <si>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</si>
  <si>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</si>
  <si>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</si>
  <si>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</si>
  <si>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</si>
  <si>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</si>
  <si>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</si>
  <si>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</si>
  <si>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</si>
  <si>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</si>
  <si>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</si>
  <si>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</si>
  <si>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</si>
  <si>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H</t>
  </si>
  <si>
    <t>D</t>
  </si>
  <si>
    <t>S</t>
  </si>
  <si>
    <t>I</t>
  </si>
  <si>
    <t xml:space="preserve">Polygons coordinates can be input in CW or CCW order. </t>
  </si>
  <si>
    <t>Vcap</t>
  </si>
  <si>
    <t>Mcap</t>
  </si>
  <si>
    <t>Label</t>
  </si>
  <si>
    <r>
      <rPr>
        <b/>
        <sz val="12"/>
        <color theme="0"/>
        <rFont val="Symbol"/>
        <charset val="2"/>
      </rPr>
      <t>q</t>
    </r>
    <r>
      <rPr>
        <b/>
        <sz val="12"/>
        <color theme="0"/>
        <rFont val="Aptos Narrow"/>
        <scheme val="minor"/>
      </rPr>
      <t>p</t>
    </r>
  </si>
  <si>
    <t>LEM only</t>
  </si>
  <si>
    <t>LEM &amp; FEM</t>
  </si>
  <si>
    <t>FEM only</t>
  </si>
  <si>
    <t>Fixity</t>
  </si>
  <si>
    <t>unsat</t>
  </si>
  <si>
    <t>lf</t>
  </si>
  <si>
    <t>vg</t>
  </si>
  <si>
    <t>linear front model (kr0,h0)</t>
  </si>
  <si>
    <t>van Genuchten model (vb_a, vg_n)</t>
  </si>
  <si>
    <t>Unsat model option</t>
  </si>
  <si>
    <t>vg_a</t>
  </si>
  <si>
    <t>vg_n</t>
  </si>
  <si>
    <t>Pore pressure (u) options</t>
  </si>
  <si>
    <t>pow</t>
  </si>
  <si>
    <t>ru</t>
  </si>
  <si>
    <t>pow_a</t>
  </si>
  <si>
    <t>pow_b</t>
  </si>
  <si>
    <t>pow_c</t>
  </si>
  <si>
    <t>pow_d</t>
  </si>
  <si>
    <t>Appl</t>
  </si>
  <si>
    <t>Tend1</t>
  </si>
  <si>
    <t>Tend2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</si>
  <si>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</si>
  <si>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</si>
  <si>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</si>
  <si>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</si>
  <si>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</si>
  <si>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</si>
  <si>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</si>
  <si>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</si>
  <si>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P</t>
  </si>
  <si>
    <r>
      <rPr>
        <sz val="12"/>
        <color theme="0"/>
        <rFont val="Symbol"/>
        <charset val="2"/>
      </rPr>
      <t>g</t>
    </r>
    <r>
      <rPr>
        <vertAlign val="subscript"/>
        <sz val="12"/>
        <color theme="0"/>
        <rFont val="Aptos Narrow (Body)"/>
      </rPr>
      <t>sat</t>
    </r>
  </si>
  <si>
    <t>Pore pressure ratio (u = ru * sigma_v)</t>
  </si>
  <si>
    <t>Power curve envelope: t = pow_a * (sn + pow_d)^pow_b + pow_c</t>
  </si>
  <si>
    <t>Type</t>
  </si>
  <si>
    <t>Dir</t>
  </si>
  <si>
    <t>Spacing</t>
  </si>
  <si>
    <t>Angle</t>
  </si>
  <si>
    <t>Type:</t>
  </si>
  <si>
    <t>Type optons</t>
  </si>
  <si>
    <t>phreatic</t>
  </si>
  <si>
    <t xml:space="preserve"> Phreatic surface: static head reduced by cos² of the line's slope.</t>
  </si>
  <si>
    <t>True piezometric line: u = γw × vertical distance below the line (static head).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</si>
</sst>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 (Body)"/>
    </font>
    <font>
      <b/>
      <sz val="12"/>
      <color theme="0"/>
      <name val="Symbol"/>
      <charset val="2"/>
    </font>
    <font>
      <vertAlign val="subscript"/>
      <sz val="12"/>
      <color theme="0"/>
      <name val="Aptos Narrow (Body)"/>
    </font>
    <font>
      <sz val="12"/>
      <color theme="0"/>
      <name val="Aptos Narrow"/>
    </font>
  </fonts>
  <fills count="1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0" fontId="13" fillId="0" borderId="0" xfId="0" applyFont="1"/>
    <xf numFmtId="0" fontId="5" fillId="8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14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5" fillId="11" borderId="0" xfId="0" applyFont="1" applyFill="1" applyAlignment="1">
      <alignment horizontal="center"/>
    </xf>
    <xf numFmtId="0" fontId="11" fillId="11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2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15" fillId="13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6" fillId="15" borderId="1" xfId="0" applyFont="1" applyFill="1" applyBorder="1" applyAlignment="1">
      <alignment horizontal="center"/>
    </xf>
    <xf numFmtId="0" fontId="2" fillId="16" borderId="1" xfId="0" applyFont="1" applyFill="1" applyBorder="1" applyAlignment="1">
      <alignment horizontal="center"/>
    </xf>
    <xf numFmtId="0" fontId="16" fillId="16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20" fillId="4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2" fillId="15" borderId="6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16" borderId="6" xfId="0" applyFont="1" applyFill="1" applyBorder="1" applyAlignment="1">
      <alignment horizontal="center"/>
    </xf>
    <xf numFmtId="0" fontId="2" fillId="16" borderId="3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</cellXfs>
  <cellStyles count="1">
    <cellStyle name="Normal" xfId="0" builtinId="0"/>
  </cellStyles>
  <dxfs count="1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profile!$A$8:$A$27</c:f>
              <c:numCache>
                <c:formatCode>General</c:formatCode>
                <c:ptCount val="20"/>
              </c:numCache>
            </c:numRef>
          </c:xVal>
          <c:yVal>
            <c:numRef>
              <c:f>profile!$B$8:$B$27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profile!$D$8:$D$27</c:f>
              <c:numCache>
                <c:formatCode>General</c:formatCode>
                <c:ptCount val="20"/>
              </c:numCache>
            </c:numRef>
          </c:xVal>
          <c:yVal>
            <c:numRef>
              <c:f>profile!$E$8:$E$27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profile!$G$8:$G$27</c:f>
              <c:numCache>
                <c:formatCode>General</c:formatCode>
                <c:ptCount val="20"/>
              </c:numCache>
            </c:numRef>
          </c:xVal>
          <c:yVal>
            <c:numRef>
              <c:f>profile!$H$8:$H$27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profile!$J$8:$J$27</c:f>
              <c:numCache>
                <c:formatCode>General</c:formatCode>
                <c:ptCount val="20"/>
              </c:numCache>
            </c:numRef>
          </c:xVal>
          <c:yVal>
            <c:numRef>
              <c:f>profile!$K$8:$K$27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profile!$M$8:$M$27</c:f>
              <c:numCache>
                <c:formatCode>General</c:formatCode>
                <c:ptCount val="20"/>
              </c:numCache>
            </c:numRef>
          </c:xVal>
          <c:yVal>
            <c:numRef>
              <c:f>profile!$N$8:$N$27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profile!$P$4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profile!$P$8:$P$27</c:f>
              <c:numCache>
                <c:formatCode>General</c:formatCode>
                <c:ptCount val="20"/>
              </c:numCache>
            </c:numRef>
          </c:xVal>
          <c:yVal>
            <c:numRef>
              <c:f>profile!$Q$8:$Q$27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profile!$S$4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profile!$S$8:$S$27</c:f>
              <c:numCache>
                <c:formatCode>General</c:formatCode>
                <c:ptCount val="20"/>
              </c:numCache>
            </c:numRef>
          </c:xVal>
          <c:yVal>
            <c:numRef>
              <c:f>profile!$T$8:$T$27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profile!$V$4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profile!$V$8:$V$27</c:f>
              <c:numCache>
                <c:formatCode>General</c:formatCode>
                <c:ptCount val="20"/>
              </c:numCache>
            </c:numRef>
          </c:xVal>
          <c:yVal>
            <c:numRef>
              <c:f>profile!$W$8:$W$27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profile!$Y$4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profile!$Y$8:$Y$27</c:f>
              <c:numCache>
                <c:formatCode>General</c:formatCode>
                <c:ptCount val="20"/>
              </c:numCache>
            </c:numRef>
          </c:xVal>
          <c:yVal>
            <c:numRef>
              <c:f>profile!$Z$8:$Z$27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profile!$AB$4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profile!$AB$8:$AB$27</c:f>
              <c:numCache>
                <c:formatCode>General</c:formatCode>
                <c:ptCount val="20"/>
              </c:numCache>
            </c:numRef>
          </c:xVal>
          <c:yVal>
            <c:numRef>
              <c:f>profile!$AC$8:$AC$27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45"/>
          <c:order val="10"/>
          <c:tx>
            <c:strRef>
              <c:f>profile!$AE$4</c:f>
              <c:strCache>
                <c:ptCount val="1"/>
                <c:pt idx="0">
                  <c:v>Profile Line #11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profile!$AE$8:$AE$27</c:f>
              <c:numCache>
                <c:formatCode>General</c:formatCode>
                <c:ptCount val="20"/>
              </c:numCache>
            </c:numRef>
          </c:xVal>
          <c:yVal>
            <c:numRef>
              <c:f>profile!$AF$8:$AF$27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26-7045-8BAC-DB7411F222B8}"/>
            </c:ext>
          </c:extLst>
        </c:ser>
        <c:ser>
          <c:idx val="46"/>
          <c:order val="11"/>
          <c:tx>
            <c:strRef>
              <c:f>profile!$AH$4</c:f>
              <c:strCache>
                <c:ptCount val="1"/>
                <c:pt idx="0">
                  <c:v>Profile Line #12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profile!$AH$8:$AH$27</c:f>
              <c:numCache>
                <c:formatCode>General</c:formatCode>
                <c:ptCount val="20"/>
              </c:numCache>
            </c:numRef>
          </c:xVal>
          <c:yVal>
            <c:numRef>
              <c:f>profile!$AI$8:$AI$27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6-7045-8BAC-DB7411F222B8}"/>
            </c:ext>
          </c:extLst>
        </c:ser>
        <c:ser>
          <c:idx val="47"/>
          <c:order val="12"/>
          <c:tx>
            <c:strRef>
              <c:f>profile!$AK$4</c:f>
              <c:strCache>
                <c:ptCount val="1"/>
                <c:pt idx="0">
                  <c:v>Profile Line #13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profile!$AK$8:$AK$27</c:f>
              <c:numCache>
                <c:formatCode>General</c:formatCode>
                <c:ptCount val="20"/>
              </c:numCache>
            </c:numRef>
          </c:xVal>
          <c:yVal>
            <c:numRef>
              <c:f>profile!$AL$8:$AL$27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6-7045-8BAC-DB7411F222B8}"/>
            </c:ext>
          </c:extLst>
        </c:ser>
        <c:ser>
          <c:idx val="48"/>
          <c:order val="13"/>
          <c:tx>
            <c:strRef>
              <c:f>profile!$AN$4</c:f>
              <c:strCache>
                <c:ptCount val="1"/>
                <c:pt idx="0">
                  <c:v>Profile Line #14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profile!$AN$8:$AN$27</c:f>
              <c:numCache>
                <c:formatCode>General</c:formatCode>
                <c:ptCount val="20"/>
              </c:numCache>
            </c:numRef>
          </c:xVal>
          <c:yVal>
            <c:numRef>
              <c:f>profile!$AO$8:$AO$27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26-7045-8BAC-DB7411F222B8}"/>
            </c:ext>
          </c:extLst>
        </c:ser>
        <c:ser>
          <c:idx val="49"/>
          <c:order val="14"/>
          <c:tx>
            <c:strRef>
              <c:f>profile!$AQ$4</c:f>
              <c:strCache>
                <c:ptCount val="1"/>
                <c:pt idx="0">
                  <c:v>Profile Line #15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profile!$AQ$8:$AQ$27</c:f>
              <c:numCache>
                <c:formatCode>General</c:formatCode>
                <c:ptCount val="20"/>
              </c:numCache>
            </c:numRef>
          </c:xVal>
          <c:yVal>
            <c:numRef>
              <c:f>profile!$AR$8:$AR$27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26-7045-8BAC-DB7411F222B8}"/>
            </c:ext>
          </c:extLst>
        </c:ser>
        <c:ser>
          <c:idx val="10"/>
          <c:order val="15"/>
          <c:tx>
            <c:v>Piezometric Line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piezo!$A$5:$A$19</c:f>
              <c:numCache>
                <c:formatCode>General</c:formatCode>
                <c:ptCount val="15"/>
              </c:numCache>
            </c:numRef>
          </c:xVal>
          <c:yVal>
            <c:numRef>
              <c:f>piezo!$B$5:$B$19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32"/>
          <c:order val="16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piezo!$D$5:$D$19</c:f>
              <c:numCache>
                <c:formatCode>General</c:formatCode>
                <c:ptCount val="15"/>
              </c:numCache>
            </c:numRef>
          </c:xVal>
          <c:yVal>
            <c:numRef>
              <c:f>piezo!$E$5:$E$19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11"/>
          <c:order val="17"/>
          <c:tx>
            <c:v>Non-Circular Failure Surface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8"/>
          <c:tx>
            <c:strRef>
              <c:f>dloads!$B$2</c:f>
              <c:strCache>
                <c:ptCount val="1"/>
                <c:pt idx="0">
                  <c:v>Distributed Load #1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9"/>
          <c:tx>
            <c:strRef>
              <c:f>dloads!$F$2</c:f>
              <c:strCache>
                <c:ptCount val="1"/>
                <c:pt idx="0">
                  <c:v>Distributed Load #2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20"/>
          <c:tx>
            <c:strRef>
              <c:f>dloads!$J$2</c:f>
              <c:strCache>
                <c:ptCount val="1"/>
                <c:pt idx="0">
                  <c:v>Distributed Load #3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21"/>
          <c:tx>
            <c:strRef>
              <c:f>dloads!$N$2</c:f>
              <c:strCache>
                <c:ptCount val="1"/>
                <c:pt idx="0">
                  <c:v>Distributed Load #4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22"/>
          <c:tx>
            <c:strRef>
              <c:f>dloads!$R$2</c:f>
              <c:strCache>
                <c:ptCount val="1"/>
                <c:pt idx="0">
                  <c:v>Distributed Load #5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dloads!$R$4:$R$22</c:f>
              <c:numCache>
                <c:formatCode>General</c:formatCode>
                <c:ptCount val="19"/>
              </c:numCache>
            </c:numRef>
          </c:xVal>
          <c:yVal>
            <c:numRef>
              <c:f>dloads!$S$4:$S$22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23"/>
          <c:tx>
            <c:strRef>
              <c:f>dloads!$V$2</c:f>
              <c:strCache>
                <c:ptCount val="1"/>
                <c:pt idx="0">
                  <c:v>Distributed Load #6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dloads!$V$4:$V$22</c:f>
              <c:numCache>
                <c:formatCode>General</c:formatCode>
                <c:ptCount val="19"/>
              </c:numCache>
            </c:numRef>
          </c:xVal>
          <c:yVal>
            <c:numRef>
              <c:f>dloads!$W$4:$W$22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24"/>
          <c:tx>
            <c:strRef>
              <c:f>'dloads (2)'!$B$2:$D$2</c:f>
              <c:strCache>
                <c:ptCount val="1"/>
                <c:pt idx="0">
                  <c:v>Distributed Load #1 (2)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76200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3920-BF44-925A-9D95B0B535DF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3920-BF44-925A-9D95B0B535DF}"/>
              </c:ext>
            </c:extLst>
          </c:dPt>
          <c:xVal>
            <c:numRef>
              <c:f>'dloads (2)'!$B$4:$B$22</c:f>
              <c:numCache>
                <c:formatCode>General</c:formatCode>
                <c:ptCount val="19"/>
              </c:numCache>
            </c:numRef>
          </c:xVal>
          <c:yVal>
            <c:numRef>
              <c:f>'dloads (2)'!$C$4:$C$22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25"/>
          <c:tx>
            <c:strRef>
              <c:f>'dloads (2)'!$F$2:$H$2</c:f>
              <c:strCache>
                <c:ptCount val="1"/>
                <c:pt idx="0">
                  <c:v>Distributed Load #2 (2)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'dloads (2)'!$F$4:$F$22</c:f>
              <c:numCache>
                <c:formatCode>General</c:formatCode>
                <c:ptCount val="19"/>
              </c:numCache>
            </c:numRef>
          </c:xVal>
          <c:yVal>
            <c:numRef>
              <c:f>'dloads (2)'!$G$4:$G$22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54"/>
          <c:order val="26"/>
          <c:tx>
            <c:strRef>
              <c:f>'dloads (2)'!$J$2:$L$2</c:f>
              <c:strCache>
                <c:ptCount val="1"/>
                <c:pt idx="0">
                  <c:v>Distributed Load #3 (2)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'dloads (2)'!$J$4:$J$22</c:f>
              <c:numCache>
                <c:formatCode>General</c:formatCode>
                <c:ptCount val="19"/>
              </c:numCache>
            </c:numRef>
          </c:xVal>
          <c:yVal>
            <c:numRef>
              <c:f>'dloads (2)'!$K$4:$K$22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2E-2B4D-ACD2-117ABA4930F6}"/>
            </c:ext>
          </c:extLst>
        </c:ser>
        <c:ser>
          <c:idx val="55"/>
          <c:order val="27"/>
          <c:tx>
            <c:strRef>
              <c:f>'dloads (2)'!$N$2:$P$2</c:f>
              <c:strCache>
                <c:ptCount val="1"/>
                <c:pt idx="0">
                  <c:v>Distributed Load #4 (2)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'dloads (2)'!$N$4:$N$22</c:f>
              <c:numCache>
                <c:formatCode>General</c:formatCode>
                <c:ptCount val="19"/>
              </c:numCache>
            </c:numRef>
          </c:xVal>
          <c:yVal>
            <c:numRef>
              <c:f>'dloads (2)'!$O$4:$O$22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2E-2B4D-ACD2-117ABA4930F6}"/>
            </c:ext>
          </c:extLst>
        </c:ser>
        <c:ser>
          <c:idx val="56"/>
          <c:order val="28"/>
          <c:tx>
            <c:strRef>
              <c:f>'dloads (2)'!$R$2:$T$2</c:f>
              <c:strCache>
                <c:ptCount val="1"/>
                <c:pt idx="0">
                  <c:v>Distributed Load #5 (2)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'dloads (2)'!$R$4:$R$22</c:f>
              <c:numCache>
                <c:formatCode>General</c:formatCode>
                <c:ptCount val="19"/>
              </c:numCache>
            </c:numRef>
          </c:xVal>
          <c:yVal>
            <c:numRef>
              <c:f>'dloads (2)'!$S$4:$S$22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2E-2B4D-ACD2-117ABA4930F6}"/>
            </c:ext>
          </c:extLst>
        </c:ser>
        <c:ser>
          <c:idx val="57"/>
          <c:order val="29"/>
          <c:tx>
            <c:strRef>
              <c:f>'dloads (2)'!$V$2:$X$2</c:f>
              <c:strCache>
                <c:ptCount val="1"/>
                <c:pt idx="0">
                  <c:v>Distributed Load #6 (2)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'dloads (2)'!$V$4:$V$22</c:f>
              <c:numCache>
                <c:formatCode>General</c:formatCode>
                <c:ptCount val="19"/>
              </c:numCache>
            </c:numRef>
          </c:xVal>
          <c:yVal>
            <c:numRef>
              <c:f>'dloads (2)'!$W$4:$W$22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2E-2B4D-ACD2-117ABA4930F6}"/>
            </c:ext>
          </c:extLst>
        </c:ser>
        <c:ser>
          <c:idx val="20"/>
          <c:order val="30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(reinforce!$C$3,reinforce!$E$3)</c:f>
              <c:numCache>
                <c:formatCode>General</c:formatCode>
                <c:ptCount val="2"/>
              </c:numCache>
            </c:numRef>
          </c:xVal>
          <c:yVal>
            <c:numRef>
              <c:f>(reinforce!$D$3,reinforce!$F$3)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31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(reinforce!$C$4,reinforce!$E$4)</c:f>
              <c:numCache>
                <c:formatCode>General</c:formatCode>
                <c:ptCount val="2"/>
              </c:numCache>
            </c:numRef>
          </c:xVal>
          <c:yVal>
            <c:numRef>
              <c:f>(reinforce!$D$4,reinforce!$D$4,reinforce!$D$4,reinforce!$F$4)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32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(reinforce!$C$5,reinforce!$E$5)</c:f>
              <c:numCache>
                <c:formatCode>General</c:formatCode>
                <c:ptCount val="2"/>
              </c:numCache>
            </c:numRef>
          </c:xVal>
          <c:yVal>
            <c:numRef>
              <c:f>(reinforce!$D$5,reinforce!$F$5)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33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(reinforce!$C$6,reinforce!$E$6)</c:f>
              <c:numCache>
                <c:formatCode>General</c:formatCode>
                <c:ptCount val="2"/>
              </c:numCache>
            </c:numRef>
          </c:xVal>
          <c:yVal>
            <c:numRef>
              <c:f>(reinforce!$D$6,reinforce!$F$6)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34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(reinforce!$C$7,reinforce!$E$7)</c:f>
              <c:numCache>
                <c:formatCode>General</c:formatCode>
                <c:ptCount val="2"/>
              </c:numCache>
            </c:numRef>
          </c:xVal>
          <c:yVal>
            <c:numRef>
              <c:f>(reinforce!$D$7,reinforce!$F$7)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5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(reinforce!$C$8,reinforce!$E$8)</c:f>
              <c:numCache>
                <c:formatCode>General</c:formatCode>
                <c:ptCount val="2"/>
              </c:numCache>
            </c:numRef>
          </c:xVal>
          <c:yVal>
            <c:numRef>
              <c:f>(reinforce!$D$8,reinforce!$F$8)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6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(reinforce!$C$9,reinforce!$E$9)</c:f>
              <c:numCache>
                <c:formatCode>General</c:formatCode>
                <c:ptCount val="2"/>
              </c:numCache>
            </c:numRef>
          </c:xVal>
          <c:yVal>
            <c:numRef>
              <c:f>(reinforce!$D$9,reinforce!$F$9)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7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(reinforce!$C$10,reinforce!$E$10)</c:f>
              <c:numCache>
                <c:formatCode>General</c:formatCode>
                <c:ptCount val="2"/>
              </c:numCache>
            </c:numRef>
          </c:xVal>
          <c:yVal>
            <c:numRef>
              <c:f>(reinforce!$D$10,reinforce!$F$10)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8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(reinforce!$C$11,reinforce!$E$11)</c:f>
              <c:numCache>
                <c:formatCode>General</c:formatCode>
                <c:ptCount val="2"/>
              </c:numCache>
            </c:numRef>
          </c:xVal>
          <c:yVal>
            <c:numRef>
              <c:f>(reinforce!$D$11,reinforce!$F$11)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9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(reinforce!$C$12,reinforce!$E$12)</c:f>
              <c:numCache>
                <c:formatCode>General</c:formatCode>
                <c:ptCount val="2"/>
              </c:numCache>
            </c:numRef>
          </c:xVal>
          <c:yVal>
            <c:numRef>
              <c:f>(reinforce!$D$12,reinforce!$F$12)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40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762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(reinforce!$C$13,reinforce!$E$13)</c:f>
              <c:numCache>
                <c:formatCode>General</c:formatCode>
                <c:ptCount val="2"/>
              </c:numCache>
            </c:numRef>
          </c:xVal>
          <c:yVal>
            <c:numRef>
              <c:f>(reinforce!$D$13,reinforce!$F$13)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41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(reinforce!$C$14,reinforce!$E$14)</c:f>
              <c:numCache>
                <c:formatCode>General</c:formatCode>
                <c:ptCount val="2"/>
              </c:numCache>
            </c:numRef>
          </c:xVal>
          <c:yVal>
            <c:numRef>
              <c:f>(reinforce!$D$14,reinforce!$F$14)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42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(reinforce!$C$15,reinforce!$E$15)</c:f>
              <c:numCache>
                <c:formatCode>General</c:formatCode>
                <c:ptCount val="2"/>
              </c:numCache>
            </c:numRef>
          </c:xVal>
          <c:yVal>
            <c:numRef>
              <c:f>(reinforce!$D$15,reinforce!$F$15)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43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(reinforce!$C$16,reinforce!$E$16)</c:f>
              <c:numCache>
                <c:formatCode>General</c:formatCode>
                <c:ptCount val="2"/>
              </c:numCache>
            </c:numRef>
          </c:xVal>
          <c:yVal>
            <c:numRef>
              <c:f>(reinforce!$D$16,reinforce!$F$16)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44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(reinforce!$C$17,reinforce!$E$17)</c:f>
              <c:numCache>
                <c:formatCode>General</c:formatCode>
                <c:ptCount val="2"/>
              </c:numCache>
            </c:numRef>
          </c:xVal>
          <c:yVal>
            <c:numRef>
              <c:f>(reinforce!$D$17,reinforce!$F$17)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5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(reinforce!$C$18,reinforce!$E$18)</c:f>
              <c:numCache>
                <c:formatCode>General</c:formatCode>
                <c:ptCount val="2"/>
              </c:numCache>
            </c:numRef>
          </c:xVal>
          <c:yVal>
            <c:numRef>
              <c:f>(reinforce!$D$18,reinforce!$F$18)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6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(reinforce!$C$19,reinforce!$E$19)</c:f>
              <c:numCache>
                <c:formatCode>General</c:formatCode>
                <c:ptCount val="2"/>
              </c:numCache>
            </c:numRef>
          </c:xVal>
          <c:yVal>
            <c:numRef>
              <c:f>(reinforce!$D$19,reinforce!$F$19)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7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(reinforce!$C$20,reinforce!$E$20)</c:f>
              <c:numCache>
                <c:formatCode>General</c:formatCode>
                <c:ptCount val="2"/>
              </c:numCache>
            </c:numRef>
          </c:xVal>
          <c:yVal>
            <c:numRef>
              <c:f>(reinforce!$D$20,reinforce!$F$20)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8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(reinforce!$C$21,reinforce!$E$21)</c:f>
              <c:numCache>
                <c:formatCode>General</c:formatCode>
                <c:ptCount val="2"/>
              </c:numCache>
            </c:numRef>
          </c:xVal>
          <c:yVal>
            <c:numRef>
              <c:f>(reinforce!$D$21,reinforce!$F$21)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9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(reinforce!$C$22,reinforce!$E$22)</c:f>
              <c:numCache>
                <c:formatCode>General</c:formatCode>
                <c:ptCount val="2"/>
              </c:numCache>
            </c:numRef>
          </c:xVal>
          <c:yVal>
            <c:numRef>
              <c:f>(reinforce!$D$22,reinforce!$F$22)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ser>
          <c:idx val="36"/>
          <c:order val="50"/>
          <c:tx>
            <c:strRef>
              <c:f>'seep bc'!$B$2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76200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3920-BF44-925A-9D95B0B535DF}"/>
              </c:ext>
            </c:extLst>
          </c:dPt>
          <c:xVal>
            <c:numRef>
              <c:f>'seep bc'!$B$5:$B$24</c:f>
              <c:numCache>
                <c:formatCode>General</c:formatCode>
                <c:ptCount val="20"/>
              </c:numCache>
            </c:numRef>
          </c:xVal>
          <c:yVal>
            <c:numRef>
              <c:f>'seep bc'!$C$5:$C$24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33"/>
          <c:order val="51"/>
          <c:tx>
            <c:strRef>
              <c:f>'seep bc'!$E$2:$F$2</c:f>
              <c:strCache>
                <c:ptCount val="1"/>
                <c:pt idx="0">
                  <c:v>Specified Head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bc'!$E$5:$E$24</c:f>
              <c:numCache>
                <c:formatCode>General</c:formatCode>
                <c:ptCount val="20"/>
              </c:numCache>
            </c:numRef>
          </c:xVal>
          <c:yVal>
            <c:numRef>
              <c:f>'seep bc'!$F$5:$F$24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52"/>
          <c:tx>
            <c:strRef>
              <c:f>'seep bc'!$H$2:$I$2</c:f>
              <c:strCache>
                <c:ptCount val="1"/>
                <c:pt idx="0">
                  <c:v>Specified Head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bc'!$H$5:$H$24</c:f>
              <c:numCache>
                <c:formatCode>General</c:formatCode>
                <c:ptCount val="20"/>
              </c:numCache>
            </c:numRef>
          </c:xVal>
          <c:yVal>
            <c:numRef>
              <c:f>'seep bc'!$I$5:$I$24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53"/>
          <c:tx>
            <c:strRef>
              <c:f>'seep bc'!$K$2:$L$2</c:f>
              <c:strCache>
                <c:ptCount val="1"/>
                <c:pt idx="0">
                  <c:v>Specified Head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bc'!$K$5:$K$24</c:f>
              <c:numCache>
                <c:formatCode>General</c:formatCode>
                <c:ptCount val="20"/>
              </c:numCache>
            </c:numRef>
          </c:xVal>
          <c:yVal>
            <c:numRef>
              <c:f>'seep bc'!$L$5:$L$24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50"/>
          <c:order val="54"/>
          <c:tx>
            <c:strRef>
              <c:f>'seep bc'!$N$2:$O$2</c:f>
              <c:strCache>
                <c:ptCount val="1"/>
                <c:pt idx="0">
                  <c:v>Specified Head #4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bc'!$N$5:$N$24</c:f>
              <c:numCache>
                <c:formatCode>General</c:formatCode>
                <c:ptCount val="20"/>
              </c:numCache>
            </c:numRef>
          </c:xVal>
          <c:yVal>
            <c:numRef>
              <c:f>'seep bc'!$O$5:$O$24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226-7045-8BAC-DB7411F222B8}"/>
            </c:ext>
          </c:extLst>
        </c:ser>
        <c:ser>
          <c:idx val="51"/>
          <c:order val="55"/>
          <c:tx>
            <c:strRef>
              <c:f>'seep bc'!$Q$2:$R$2</c:f>
              <c:strCache>
                <c:ptCount val="1"/>
                <c:pt idx="0">
                  <c:v>Specified Head #5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bc'!$Q$5:$Q$24</c:f>
              <c:numCache>
                <c:formatCode>General</c:formatCode>
                <c:ptCount val="20"/>
              </c:numCache>
            </c:numRef>
          </c:xVal>
          <c:yVal>
            <c:numRef>
              <c:f>'seep bc'!$R$5:$R$24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26-7045-8BAC-DB7411F222B8}"/>
            </c:ext>
          </c:extLst>
        </c:ser>
        <c:ser>
          <c:idx val="52"/>
          <c:order val="56"/>
          <c:tx>
            <c:strRef>
              <c:f>'seep bc (2)'!$B$2</c:f>
              <c:strCache>
                <c:ptCount val="1"/>
                <c:pt idx="0">
                  <c:v>Exit Face (2)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(2)'!$B$5:$B$24</c:f>
              <c:numCache>
                <c:formatCode>General</c:formatCode>
                <c:ptCount val="20"/>
              </c:numCache>
            </c:numRef>
          </c:xVal>
          <c:yVal>
            <c:numRef>
              <c:f>'seep bc (2)'!$C$5:$C$24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226-7045-8BAC-DB7411F222B8}"/>
            </c:ext>
          </c:extLst>
        </c:ser>
        <c:ser>
          <c:idx val="53"/>
          <c:order val="57"/>
          <c:tx>
            <c:strRef>
              <c:f>'seep bc (2)'!$E$2:$F$2</c:f>
              <c:strCache>
                <c:ptCount val="1"/>
                <c:pt idx="0">
                  <c:v>Specified Head #1 (2)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(2)'!$E$5:$E$24</c:f>
              <c:numCache>
                <c:formatCode>General</c:formatCode>
                <c:ptCount val="20"/>
              </c:numCache>
            </c:numRef>
          </c:xVal>
          <c:yVal>
            <c:numRef>
              <c:f>'seep bc (2)'!$F$5:$F$24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226-7045-8BAC-DB7411F222B8}"/>
            </c:ext>
          </c:extLst>
        </c:ser>
        <c:ser>
          <c:idx val="58"/>
          <c:order val="58"/>
          <c:tx>
            <c:strRef>
              <c:f>'seep bc (2)'!$H$2:$I$2</c:f>
              <c:strCache>
                <c:ptCount val="1"/>
                <c:pt idx="0">
                  <c:v>Specified Head #2 (2)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'seep bc (2)'!$H$5:$H$24</c:f>
              <c:numCache>
                <c:formatCode>General</c:formatCode>
                <c:ptCount val="20"/>
              </c:numCache>
            </c:numRef>
          </c:xVal>
          <c:yVal>
            <c:numRef>
              <c:f>'seep bc (2)'!$I$5:$I$24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2E-2B4D-ACD2-117ABA4930F6}"/>
            </c:ext>
          </c:extLst>
        </c:ser>
        <c:ser>
          <c:idx val="59"/>
          <c:order val="59"/>
          <c:tx>
            <c:strRef>
              <c:f>'seep bc (2)'!$K$2:$L$2</c:f>
              <c:strCache>
                <c:ptCount val="1"/>
                <c:pt idx="0">
                  <c:v>Specified Head #3 (2)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'seep bc (2)'!$K$5:$K$24</c:f>
              <c:numCache>
                <c:formatCode>General</c:formatCode>
                <c:ptCount val="20"/>
              </c:numCache>
            </c:numRef>
          </c:xVal>
          <c:yVal>
            <c:numRef>
              <c:f>'seep bc (2)'!$L$5:$L$24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2E-2B4D-ACD2-117ABA4930F6}"/>
            </c:ext>
          </c:extLst>
        </c:ser>
        <c:ser>
          <c:idx val="60"/>
          <c:order val="60"/>
          <c:tx>
            <c:strRef>
              <c:f>'seep bc (2)'!$N$2:$O$2</c:f>
              <c:strCache>
                <c:ptCount val="1"/>
                <c:pt idx="0">
                  <c:v>Specified Head #4 (2)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(2)'!$N$5:$N$24</c:f>
              <c:numCache>
                <c:formatCode>General</c:formatCode>
                <c:ptCount val="20"/>
              </c:numCache>
            </c:numRef>
          </c:xVal>
          <c:yVal>
            <c:numRef>
              <c:f>'seep bc (2)'!$O$5:$O$24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C2E-2B4D-ACD2-117ABA4930F6}"/>
            </c:ext>
          </c:extLst>
        </c:ser>
        <c:ser>
          <c:idx val="61"/>
          <c:order val="61"/>
          <c:tx>
            <c:strRef>
              <c:f>'seep bc (2)'!$Q$2:$R$2</c:f>
              <c:strCache>
                <c:ptCount val="1"/>
                <c:pt idx="0">
                  <c:v>Specified Head #5 (2)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(2)'!$Q$5:$Q$24</c:f>
              <c:numCache>
                <c:formatCode>General</c:formatCode>
                <c:ptCount val="20"/>
              </c:numCache>
            </c:numRef>
          </c:xVal>
          <c:yVal>
            <c:numRef>
              <c:f>'seep bc (2)'!$R$5:$R$24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C2E-2B4D-ACD2-117ABA4930F6}"/>
            </c:ext>
          </c:extLst>
        </c:ser>
        <c:ser>
          <c:idx val="62"/>
          <c:order val="62"/>
          <c:tx>
            <c:strRef>
              <c:f>polygon!$A$4</c:f>
              <c:strCache>
                <c:ptCount val="1"/>
                <c:pt idx="0">
                  <c:v>Polygon #1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polygon!$A$8:$A$27</c:f>
              <c:numCache>
                <c:formatCode>General</c:formatCode>
                <c:ptCount val="20"/>
              </c:numCache>
            </c:numRef>
          </c:xVal>
          <c:yVal>
            <c:numRef>
              <c:f>polygon!$B$8:$B$27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A2F6-274C-9E15-3D60CC318540}"/>
            </c:ext>
          </c:extLst>
        </c:ser>
        <c:ser>
          <c:idx val="63"/>
          <c:order val="63"/>
          <c:tx>
            <c:strRef>
              <c:f>polygon!$D$4</c:f>
              <c:strCache>
                <c:ptCount val="1"/>
                <c:pt idx="0">
                  <c:v>Polygon #2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polygon!$D$8:$D$27</c:f>
              <c:numCache>
                <c:formatCode>General</c:formatCode>
                <c:ptCount val="20"/>
              </c:numCache>
            </c:numRef>
          </c:xVal>
          <c:yVal>
            <c:numRef>
              <c:f>polygon!$E$8:$E$27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A2F6-274C-9E15-3D60CC318540}"/>
            </c:ext>
          </c:extLst>
        </c:ser>
        <c:ser>
          <c:idx val="64"/>
          <c:order val="64"/>
          <c:tx>
            <c:strRef>
              <c:f>polygon!$G$4</c:f>
              <c:strCache>
                <c:ptCount val="1"/>
                <c:pt idx="0">
                  <c:v>Polygon #3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polygon!$G$8:$G$27</c:f>
              <c:numCache>
                <c:formatCode>General</c:formatCode>
                <c:ptCount val="20"/>
              </c:numCache>
            </c:numRef>
          </c:xVal>
          <c:yVal>
            <c:numRef>
              <c:f>polygon!$H$8:$H$27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A2F6-274C-9E15-3D60CC318540}"/>
            </c:ext>
          </c:extLst>
        </c:ser>
        <c:ser>
          <c:idx val="65"/>
          <c:order val="65"/>
          <c:tx>
            <c:strRef>
              <c:f>polygon!$J$4</c:f>
              <c:strCache>
                <c:ptCount val="1"/>
                <c:pt idx="0">
                  <c:v>Polygon #4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polygon!$J$8:$J$27</c:f>
              <c:numCache>
                <c:formatCode>General</c:formatCode>
                <c:ptCount val="20"/>
              </c:numCache>
            </c:numRef>
          </c:xVal>
          <c:yVal>
            <c:numRef>
              <c:f>polygon!$K$8:$K$27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A2F6-274C-9E15-3D60CC318540}"/>
            </c:ext>
          </c:extLst>
        </c:ser>
        <c:ser>
          <c:idx val="66"/>
          <c:order val="66"/>
          <c:tx>
            <c:strRef>
              <c:f>polygon!$M$4</c:f>
              <c:strCache>
                <c:ptCount val="1"/>
                <c:pt idx="0">
                  <c:v>Polygon #5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polygon!$M$8:$M$27</c:f>
              <c:numCache>
                <c:formatCode>General</c:formatCode>
                <c:ptCount val="20"/>
              </c:numCache>
            </c:numRef>
          </c:xVal>
          <c:yVal>
            <c:numRef>
              <c:f>polygon!$N$8:$N$27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A2F6-274C-9E15-3D60CC318540}"/>
            </c:ext>
          </c:extLst>
        </c:ser>
        <c:ser>
          <c:idx val="67"/>
          <c:order val="67"/>
          <c:tx>
            <c:strRef>
              <c:f>polygon!$P$4</c:f>
              <c:strCache>
                <c:ptCount val="1"/>
                <c:pt idx="0">
                  <c:v>Polygon #6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polygon!$P$8:$P$27</c:f>
              <c:numCache>
                <c:formatCode>General</c:formatCode>
                <c:ptCount val="20"/>
              </c:numCache>
            </c:numRef>
          </c:xVal>
          <c:yVal>
            <c:numRef>
              <c:f>polygon!$Q$8:$Q$27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A2F6-274C-9E15-3D60CC318540}"/>
            </c:ext>
          </c:extLst>
        </c:ser>
        <c:ser>
          <c:idx val="68"/>
          <c:order val="68"/>
          <c:tx>
            <c:strRef>
              <c:f>polygon!$S$4</c:f>
              <c:strCache>
                <c:ptCount val="1"/>
                <c:pt idx="0">
                  <c:v>Polygon #7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polygon!$S$8:$S$27</c:f>
              <c:numCache>
                <c:formatCode>General</c:formatCode>
                <c:ptCount val="20"/>
              </c:numCache>
            </c:numRef>
          </c:xVal>
          <c:yVal>
            <c:numRef>
              <c:f>polygon!$T$8:$T$27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A2F6-274C-9E15-3D60CC318540}"/>
            </c:ext>
          </c:extLst>
        </c:ser>
        <c:ser>
          <c:idx val="69"/>
          <c:order val="69"/>
          <c:tx>
            <c:strRef>
              <c:f>polygon!$V$4</c:f>
              <c:strCache>
                <c:ptCount val="1"/>
                <c:pt idx="0">
                  <c:v>Polygon #8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polygon!$V$8:$V$27</c:f>
              <c:numCache>
                <c:formatCode>General</c:formatCode>
                <c:ptCount val="20"/>
              </c:numCache>
            </c:numRef>
          </c:xVal>
          <c:yVal>
            <c:numRef>
              <c:f>polygon!$W$8:$W$27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A2F6-274C-9E15-3D60CC318540}"/>
            </c:ext>
          </c:extLst>
        </c:ser>
        <c:ser>
          <c:idx val="70"/>
          <c:order val="70"/>
          <c:tx>
            <c:strRef>
              <c:f>polygon!$Y$4</c:f>
              <c:strCache>
                <c:ptCount val="1"/>
                <c:pt idx="0">
                  <c:v>Polygon #9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polygon!$Y$8:$Y$27</c:f>
              <c:numCache>
                <c:formatCode>General</c:formatCode>
                <c:ptCount val="20"/>
              </c:numCache>
            </c:numRef>
          </c:xVal>
          <c:yVal>
            <c:numRef>
              <c:f>polygon!$Z$8:$Z$27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A2F6-274C-9E15-3D60CC318540}"/>
            </c:ext>
          </c:extLst>
        </c:ser>
        <c:ser>
          <c:idx val="71"/>
          <c:order val="71"/>
          <c:tx>
            <c:strRef>
              <c:f>polygon!$AB$4</c:f>
              <c:strCache>
                <c:ptCount val="1"/>
                <c:pt idx="0">
                  <c:v>Polygon #10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polygon!$AB$8:$AB$27</c:f>
              <c:numCache>
                <c:formatCode>General</c:formatCode>
                <c:ptCount val="20"/>
              </c:numCache>
            </c:numRef>
          </c:xVal>
          <c:yVal>
            <c:numRef>
              <c:f>polygon!$AC$8:$AC$27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A2F6-274C-9E15-3D60CC318540}"/>
            </c:ext>
          </c:extLst>
        </c:ser>
        <c:ser>
          <c:idx val="72"/>
          <c:order val="72"/>
          <c:tx>
            <c:strRef>
              <c:f>polygon!$AE$4</c:f>
              <c:strCache>
                <c:ptCount val="1"/>
                <c:pt idx="0">
                  <c:v>Polygon #11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polygon!$AE$8:$AE$27</c:f>
              <c:numCache>
                <c:formatCode>General</c:formatCode>
                <c:ptCount val="20"/>
              </c:numCache>
            </c:numRef>
          </c:xVal>
          <c:yVal>
            <c:numRef>
              <c:f>polygon!$AF$8:$AF$27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A2F6-274C-9E15-3D60CC318540}"/>
            </c:ext>
          </c:extLst>
        </c:ser>
        <c:ser>
          <c:idx val="73"/>
          <c:order val="73"/>
          <c:tx>
            <c:strRef>
              <c:f>polygon!$AH$4</c:f>
              <c:strCache>
                <c:ptCount val="1"/>
                <c:pt idx="0">
                  <c:v>Polygon #12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polygon!$AH$8:$AH$27</c:f>
              <c:numCache>
                <c:formatCode>General</c:formatCode>
                <c:ptCount val="20"/>
              </c:numCache>
            </c:numRef>
          </c:xVal>
          <c:yVal>
            <c:numRef>
              <c:f>polygon!$AI$8:$AI$27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A2F6-274C-9E15-3D60CC318540}"/>
            </c:ext>
          </c:extLst>
        </c:ser>
        <c:ser>
          <c:idx val="74"/>
          <c:order val="74"/>
          <c:tx>
            <c:strRef>
              <c:f>polygon!$AK$4</c:f>
              <c:strCache>
                <c:ptCount val="1"/>
                <c:pt idx="0">
                  <c:v>Polygon #13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polygon!$AK$8:$AK$27</c:f>
              <c:numCache>
                <c:formatCode>General</c:formatCode>
                <c:ptCount val="20"/>
              </c:numCache>
            </c:numRef>
          </c:xVal>
          <c:yVal>
            <c:numRef>
              <c:f>polygon!$AL$8:$AL$27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A2F6-274C-9E15-3D60CC318540}"/>
            </c:ext>
          </c:extLst>
        </c:ser>
        <c:ser>
          <c:idx val="75"/>
          <c:order val="75"/>
          <c:tx>
            <c:strRef>
              <c:f>polygon!$AN$4</c:f>
              <c:strCache>
                <c:ptCount val="1"/>
                <c:pt idx="0">
                  <c:v>Polygon #14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polygon!$AN$8:$AN$27</c:f>
              <c:numCache>
                <c:formatCode>General</c:formatCode>
                <c:ptCount val="20"/>
              </c:numCache>
            </c:numRef>
          </c:xVal>
          <c:yVal>
            <c:numRef>
              <c:f>polygon!$AO$8:$AO$27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A2F6-274C-9E15-3D60CC318540}"/>
            </c:ext>
          </c:extLst>
        </c:ser>
        <c:ser>
          <c:idx val="76"/>
          <c:order val="76"/>
          <c:tx>
            <c:strRef>
              <c:f>polygon!$AQ$4</c:f>
              <c:strCache>
                <c:ptCount val="1"/>
                <c:pt idx="0">
                  <c:v>Polygon #15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polygon!$AQ$8:$AQ$27</c:f>
              <c:numCache>
                <c:formatCode>General</c:formatCode>
                <c:ptCount val="20"/>
              </c:numCache>
            </c:numRef>
          </c:xVal>
          <c:yVal>
            <c:numRef>
              <c:f>polygon!$AR$8:$AR$27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A2F6-274C-9E15-3D60CC318540}"/>
            </c:ext>
          </c:extLst>
        </c:ser>
        <c:ser>
          <c:idx val="77"/>
          <c:order val="77"/>
          <c:tx>
            <c:v>Pile #1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(piles!$C$3,piles!$E$3)</c:f>
              <c:numCache>
                <c:formatCode>General</c:formatCode>
                <c:ptCount val="2"/>
              </c:numCache>
            </c:numRef>
          </c:xVal>
          <c:yVal>
            <c:numRef>
              <c:f>(piles!$D$3,piles!$F$3)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A2F6-274C-9E15-3D60CC318540}"/>
            </c:ext>
          </c:extLst>
        </c:ser>
        <c:ser>
          <c:idx val="78"/>
          <c:order val="78"/>
          <c:tx>
            <c:v>Pile #2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(piles!$C$4,piles!$E$4)</c:f>
              <c:numCache>
                <c:formatCode>General</c:formatCode>
                <c:ptCount val="2"/>
              </c:numCache>
            </c:numRef>
          </c:xVal>
          <c:yVal>
            <c:numRef>
              <c:f>(piles!$D$4,piles!$F$4)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A2F6-274C-9E15-3D60CC318540}"/>
            </c:ext>
          </c:extLst>
        </c:ser>
        <c:ser>
          <c:idx val="79"/>
          <c:order val="79"/>
          <c:tx>
            <c:v>Pile #3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(piles!$C$5,piles!$E$5)</c:f>
              <c:numCache>
                <c:formatCode>General</c:formatCode>
                <c:ptCount val="2"/>
              </c:numCache>
            </c:numRef>
          </c:xVal>
          <c:yVal>
            <c:numRef>
              <c:f>(piles!$D$5,piles!$F$5)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A2F6-274C-9E15-3D60CC318540}"/>
            </c:ext>
          </c:extLst>
        </c:ser>
        <c:ser>
          <c:idx val="80"/>
          <c:order val="80"/>
          <c:tx>
            <c:v>Pile #4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(piles!$C$6,piles!$E$6)</c:f>
              <c:numCache>
                <c:formatCode>General</c:formatCode>
                <c:ptCount val="2"/>
              </c:numCache>
            </c:numRef>
          </c:xVal>
          <c:yVal>
            <c:numRef>
              <c:f>(piles!$D$6,piles!$F$6)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A2F6-274C-9E15-3D60CC318540}"/>
            </c:ext>
          </c:extLst>
        </c:ser>
        <c:ser>
          <c:idx val="81"/>
          <c:order val="81"/>
          <c:tx>
            <c:v>Pile #5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(piles!$C$7,piles!$E$7)</c:f>
              <c:numCache>
                <c:formatCode>General</c:formatCode>
                <c:ptCount val="2"/>
              </c:numCache>
            </c:numRef>
          </c:xVal>
          <c:yVal>
            <c:numRef>
              <c:f>(piles!$D$7,piles!$F$7)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A2F6-274C-9E15-3D60CC318540}"/>
            </c:ext>
          </c:extLst>
        </c:ser>
        <c:ser>
          <c:idx val="82"/>
          <c:order val="82"/>
          <c:tx>
            <c:v>Pile #6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(piles!$C$8,piles!$E$8)</c:f>
              <c:numCache>
                <c:formatCode>General</c:formatCode>
                <c:ptCount val="2"/>
              </c:numCache>
            </c:numRef>
          </c:xVal>
          <c:yVal>
            <c:numRef>
              <c:f>(piles!$D$8,piles!$F$8)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A2F6-274C-9E15-3D60CC318540}"/>
            </c:ext>
          </c:extLst>
        </c:ser>
        <c:ser>
          <c:idx val="83"/>
          <c:order val="83"/>
          <c:tx>
            <c:v>Pile #7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(piles!$C$9,piles!$E$9)</c:f>
              <c:numCache>
                <c:formatCode>General</c:formatCode>
                <c:ptCount val="2"/>
              </c:numCache>
            </c:numRef>
          </c:xVal>
          <c:yVal>
            <c:numRef>
              <c:f>(piles!$D$9,piles!$F$9)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A2F6-274C-9E15-3D60CC318540}"/>
            </c:ext>
          </c:extLst>
        </c:ser>
        <c:ser>
          <c:idx val="84"/>
          <c:order val="84"/>
          <c:tx>
            <c:v>Pile #8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50000"/>
                  </a:schemeClr>
                </a:solidFill>
                <a:ln w="9525">
                  <a:solidFill>
                    <a:schemeClr val="accent1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9-9273-8E45-8E0C-DF8E6C08CDD2}"/>
              </c:ext>
            </c:extLst>
          </c:dPt>
          <c:xVal>
            <c:numRef>
              <c:f>(piles!$C$10,piles!$E$10)</c:f>
              <c:numCache>
                <c:formatCode>General</c:formatCode>
                <c:ptCount val="2"/>
              </c:numCache>
            </c:numRef>
          </c:xVal>
          <c:yVal>
            <c:numRef>
              <c:f>(piles!$D$10,piles!$F$10)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A2F6-274C-9E15-3D60CC318540}"/>
            </c:ext>
          </c:extLst>
        </c:ser>
        <c:ser>
          <c:idx val="85"/>
          <c:order val="85"/>
          <c:tx>
            <c:v>Pile #9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(piles!$C$11,piles!$E$11)</c:f>
              <c:numCache>
                <c:formatCode>General</c:formatCode>
                <c:ptCount val="2"/>
              </c:numCache>
            </c:numRef>
          </c:xVal>
          <c:yVal>
            <c:numRef>
              <c:f>(piles!$D$11,piles!$F$11)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A2F6-274C-9E15-3D60CC318540}"/>
            </c:ext>
          </c:extLst>
        </c:ser>
        <c:ser>
          <c:idx val="86"/>
          <c:order val="86"/>
          <c:tx>
            <c:v>Pile #10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(piles!$C$12,piles!$E$12)</c:f>
              <c:numCache>
                <c:formatCode>General</c:formatCode>
                <c:ptCount val="2"/>
              </c:numCache>
            </c:numRef>
          </c:xVal>
          <c:yVal>
            <c:numRef>
              <c:f>(piles!$D$12,piles!$F$12)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A2F6-274C-9E15-3D60CC318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14</xdr:col>
      <xdr:colOff>609600</xdr:colOff>
      <xdr:row>35</xdr:row>
      <xdr:rowOff>142240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308429</xdr:colOff>
      <xdr:row>1</xdr:row>
      <xdr:rowOff>136072</xdr:rowOff>
    </xdr:from>
    <xdr:to>
      <xdr:col>23</xdr:col>
      <xdr:colOff>290286</xdr:colOff>
      <xdr:row>20</xdr:row>
      <xdr:rowOff>90713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14895286" y="335643"/>
          <a:ext cx="3610429" cy="37464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</a:p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344713</xdr:colOff>
      <xdr:row>0</xdr:row>
      <xdr:rowOff>181429</xdr:rowOff>
    </xdr:from>
    <xdr:to>
      <xdr:col>21</xdr:col>
      <xdr:colOff>607785</xdr:colOff>
      <xdr:row>13</xdr:row>
      <xdr:rowOff>108855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237746D-9876-D441-9E37-DCA88203D37A}"/>
            </a:ext>
          </a:extLst>
        </xdr:cNvPr>
        <xdr:cNvSpPr txBox="1"/>
      </xdr:nvSpPr>
      <xdr:spPr>
        <a:xfrm>
          <a:off x="14260284" y="181429"/>
          <a:ext cx="3156858" cy="25218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</a:p>
        <a:p>
          <a:r>
            <a:rPr lang="en-US" sz="1100" b="1" baseline="0">
              <a:latin typeface="Symbol" pitchFamily="2" charset="2"/>
            </a:rPr>
            <a:t>q</a:t>
          </a:r>
          <a:r>
            <a:rPr lang="en-US" sz="1100" b="1" baseline="0"/>
            <a:t>p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angle from horizontal in degrees (degrees)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Fixity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status (fixed or free)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AED0A-C8CC-8343-BA2E-B8E4255891E7}">
  <dimension ref="A1:G24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x14ac:dyDescent="0.4">
      <c r="A1" s="7" t="s">
        <v>98</v>
      </c>
    </row>
    <row r="3" spans="1:7" ht="19" x14ac:dyDescent="0.25">
      <c r="B3" s="8" t="s">
        <v>14</v>
      </c>
    </row>
    <row r="5" spans="1:7" x14ac:dyDescent="0.2">
      <c r="C5" s="14" t="s">
        <v>79</v>
      </c>
      <c r="D5" s="35">
        <v>13</v>
      </c>
    </row>
    <row r="7" spans="1:7" x14ac:dyDescent="0.2">
      <c r="B7" s="49" t="s">
        <v>47</v>
      </c>
      <c r="C7" s="49"/>
      <c r="D7" s="49"/>
      <c r="F7" s="15" t="s">
        <v>15</v>
      </c>
      <c r="G7" s="36" t="s">
        <v>16</v>
      </c>
    </row>
    <row r="8" spans="1:7" x14ac:dyDescent="0.2">
      <c r="C8" s="14" t="s">
        <v>50</v>
      </c>
      <c r="D8" s="1">
        <v>62.4</v>
      </c>
      <c r="F8" s="1" t="s">
        <v>116</v>
      </c>
      <c r="G8" t="s">
        <v>117</v>
      </c>
    </row>
    <row r="9" spans="1:7" x14ac:dyDescent="0.2">
      <c r="C9" s="14" t="s">
        <v>49</v>
      </c>
      <c r="D9" s="1">
        <v>0.0</v>
      </c>
      <c r="F9" s="1" t="s">
        <v>19</v>
      </c>
      <c r="G9" t="s">
        <v>20</v>
      </c>
    </row>
    <row r="10" spans="1:7" x14ac:dyDescent="0.2">
      <c r="C10" s="14" t="s">
        <v>48</v>
      </c>
      <c r="D10" s="1">
        <v>0.0</v>
      </c>
      <c r="F10" s="1" t="s">
        <v>17</v>
      </c>
      <c r="G10" t="s">
        <v>18</v>
      </c>
    </row>
    <row r="11" spans="1:7" x14ac:dyDescent="0.2">
      <c r="B11" s="1"/>
      <c r="C11" s="14" t="s">
        <v>75</v>
      </c>
      <c r="D11" s="1">
        <v>0.0</v>
      </c>
      <c r="F11" s="1" t="s">
        <v>21</v>
      </c>
      <c r="G11" t="s">
        <v>22</v>
      </c>
    </row>
    <row r="12" spans="1:7" x14ac:dyDescent="0.2">
      <c r="F12" s="1" t="s">
        <v>23</v>
      </c>
      <c r="G12" t="s">
        <v>24</v>
      </c>
    </row>
    <row r="13" spans="1:7" x14ac:dyDescent="0.2">
      <c r="F13" s="1" t="s">
        <v>38</v>
      </c>
      <c r="G13" t="s">
        <v>39</v>
      </c>
    </row>
    <row r="14" spans="1:7" x14ac:dyDescent="0.2">
      <c r="F14" s="1" t="s">
        <v>34</v>
      </c>
      <c r="G14" t="s">
        <v>35</v>
      </c>
    </row>
    <row r="15" spans="1:7" x14ac:dyDescent="0.2">
      <c r="F15" s="1" t="s">
        <v>118</v>
      </c>
      <c r="G15" t="s">
        <v>120</v>
      </c>
    </row>
    <row r="16" spans="1:7" x14ac:dyDescent="0.2">
      <c r="F16" s="1" t="s">
        <v>36</v>
      </c>
      <c r="G16" t="s">
        <v>37</v>
      </c>
    </row>
    <row r="17" spans="2:7" x14ac:dyDescent="0.2">
      <c r="B17" s="1"/>
      <c r="F17" s="1" t="s">
        <v>95</v>
      </c>
      <c r="G17" s="9" t="s">
        <v>122</v>
      </c>
    </row>
    <row r="18" spans="2:7" x14ac:dyDescent="0.2">
      <c r="F18" s="1" t="s">
        <v>119</v>
      </c>
      <c r="G18" s="9" t="s">
        <v>121</v>
      </c>
    </row>
    <row r="20" spans="2:7" x14ac:dyDescent="0.2">
      <c r="F20" s="1"/>
    </row>
    <row r="23" spans="2:7" x14ac:dyDescent="0.2">
      <c r="B23" s="1"/>
    </row>
    <row r="24" spans="2:7" x14ac:dyDescent="0.2">
      <c r="B24" s="1"/>
    </row>
  </sheetData>
  <mergeCells count="1">
    <mergeCell ref="B7:D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4949D-EAAF-AE4C-9BAF-D5BF753E34CD}">
  <dimension ref="A1"/>
  <sheetViews>
    <sheetView showGridLines="0" topLeftCell="B1" zoomScale="125" zoomScaleNormal="140" workbookViewId="0">
      <selection activeCell="Q41" sqref="Q4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900FC-A692-B445-95C9-59E70352B291}">
  <dimension ref="A2:AG51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31" width="8.5" customWidth="1"/>
    <col min="32" max="32" width="8.5" style="1" customWidth="1"/>
    <col min="33" max="33" width="8.5" customWidth="1"/>
  </cols>
  <sheetData>
    <row r="2" spans="1:33" x14ac:dyDescent="0.2">
      <c r="C2" s="6" t="s">
        <v>68</v>
      </c>
      <c r="E2"/>
      <c r="F2"/>
      <c r="G2"/>
      <c r="K2" s="6" t="s">
        <v>186</v>
      </c>
      <c r="U2" s="6"/>
      <c r="AA2" s="6" t="s">
        <v>183</v>
      </c>
    </row>
    <row r="3" spans="1:33" x14ac:dyDescent="0.2">
      <c r="C3" s="1" t="s">
        <v>67</v>
      </c>
      <c r="D3" t="s">
        <v>69</v>
      </c>
      <c r="F3"/>
      <c r="G3"/>
      <c r="K3" s="1" t="s">
        <v>87</v>
      </c>
      <c r="L3" t="s">
        <v>59</v>
      </c>
      <c r="U3" s="14"/>
      <c r="AA3" s="1" t="s">
        <v>179</v>
      </c>
      <c r="AB3" t="s">
        <v>181</v>
      </c>
    </row>
    <row r="4" spans="1:33" x14ac:dyDescent="0.2">
      <c r="C4" s="1" t="s">
        <v>70</v>
      </c>
      <c r="D4" t="s">
        <v>71</v>
      </c>
      <c r="F4"/>
      <c r="G4"/>
      <c r="K4" s="1" t="s">
        <v>21</v>
      </c>
      <c r="L4" t="s">
        <v>60</v>
      </c>
      <c r="U4" s="14"/>
      <c r="AA4" s="1" t="s">
        <v>180</v>
      </c>
      <c r="AB4" t="s">
        <v>182</v>
      </c>
    </row>
    <row r="5" spans="1:33" x14ac:dyDescent="0.2">
      <c r="C5" s="1" t="s">
        <v>187</v>
      </c>
      <c r="D5" t="s">
        <v>207</v>
      </c>
      <c r="K5" s="1" t="s">
        <v>88</v>
      </c>
      <c r="L5" s="9" t="s">
        <v>86</v>
      </c>
      <c r="U5" s="14"/>
      <c r="AA5" s="1"/>
      <c r="AB5" s="9"/>
    </row>
    <row r="6" spans="1:33" x14ac:dyDescent="0.2">
      <c r="K6" s="1" t="s">
        <v>188</v>
      </c>
      <c r="L6" t="s">
        <v>206</v>
      </c>
      <c r="P6" s="1"/>
      <c r="V6" s="1"/>
      <c r="W6" s="1"/>
    </row>
    <row r="8" spans="1:33" x14ac:dyDescent="0.2">
      <c r="C8" s="50" t="s">
        <v>57</v>
      </c>
      <c r="D8" s="51"/>
      <c r="E8" s="50"/>
      <c r="F8" s="50"/>
      <c r="G8" s="50"/>
      <c r="H8" s="50"/>
      <c r="I8" s="50"/>
      <c r="J8" s="50"/>
      <c r="K8" s="50"/>
      <c r="L8" s="52"/>
      <c r="M8" s="52"/>
      <c r="N8" s="52"/>
      <c r="O8" s="52"/>
      <c r="P8" s="1"/>
      <c r="R8" s="50" t="s">
        <v>58</v>
      </c>
      <c r="S8" s="50"/>
      <c r="T8" s="50"/>
      <c r="U8" s="50"/>
      <c r="V8" s="50"/>
      <c r="W8" s="50"/>
      <c r="X8" s="50" t="s">
        <v>92</v>
      </c>
      <c r="Y8" s="50"/>
      <c r="Z8" s="50"/>
      <c r="AA8" s="50"/>
      <c r="AB8" s="50"/>
      <c r="AC8" s="50"/>
      <c r="AD8" s="50"/>
      <c r="AE8" s="50"/>
      <c r="AF8" s="50" t="s">
        <v>99</v>
      </c>
      <c r="AG8" s="50"/>
    </row>
    <row r="9" spans="1:33" ht="18" x14ac:dyDescent="0.25">
      <c r="A9" s="20" t="s">
        <v>19</v>
      </c>
      <c r="B9" s="20" t="s">
        <v>78</v>
      </c>
      <c r="C9" s="26" t="s">
        <v>52</v>
      </c>
      <c r="D9" s="48" t="s">
        <v>205</v>
      </c>
      <c r="E9" s="21" t="s">
        <v>66</v>
      </c>
      <c r="F9" s="21" t="s">
        <v>53</v>
      </c>
      <c r="G9" s="26" t="s">
        <v>51</v>
      </c>
      <c r="H9" s="21" t="s">
        <v>73</v>
      </c>
      <c r="I9" s="21" t="s">
        <v>72</v>
      </c>
      <c r="J9" s="21" t="s">
        <v>80</v>
      </c>
      <c r="K9" s="21" t="s">
        <v>148</v>
      </c>
      <c r="L9" s="21" t="s">
        <v>189</v>
      </c>
      <c r="M9" s="21" t="s">
        <v>190</v>
      </c>
      <c r="N9" s="21" t="s">
        <v>191</v>
      </c>
      <c r="O9" s="21" t="s">
        <v>192</v>
      </c>
      <c r="P9" s="21" t="s">
        <v>85</v>
      </c>
      <c r="Q9" s="21" t="s">
        <v>188</v>
      </c>
      <c r="R9" s="22" t="s">
        <v>54</v>
      </c>
      <c r="S9" s="22" t="s">
        <v>55</v>
      </c>
      <c r="T9" s="23" t="s">
        <v>56</v>
      </c>
      <c r="U9" s="22" t="s">
        <v>74</v>
      </c>
      <c r="V9" s="22" t="s">
        <v>81</v>
      </c>
      <c r="W9" s="23" t="s">
        <v>149</v>
      </c>
      <c r="X9" s="25" t="s">
        <v>89</v>
      </c>
      <c r="Y9" s="25" t="s">
        <v>90</v>
      </c>
      <c r="Z9" s="25" t="s">
        <v>91</v>
      </c>
      <c r="AA9" s="25" t="s">
        <v>178</v>
      </c>
      <c r="AB9" s="25" t="s">
        <v>96</v>
      </c>
      <c r="AC9" s="25" t="s">
        <v>97</v>
      </c>
      <c r="AD9" s="25" t="s">
        <v>184</v>
      </c>
      <c r="AE9" s="25" t="s">
        <v>185</v>
      </c>
      <c r="AF9" s="29" t="s">
        <v>100</v>
      </c>
      <c r="AG9" s="30" t="s">
        <v>101</v>
      </c>
    </row>
    <row r="10" spans="1:33" x14ac:dyDescent="0.2">
      <c r="A10" s="3">
        <v>1</v>
      </c>
      <c r="B10" s="3" t="inlineStr">
        <is>
          <t>San Francisco Bay Mud</t>
        </is>
      </c>
      <c r="C10" s="3">
        <v>100.0</v>
      </c>
      <c r="D10" s="3">
        <v>100.0</v>
      </c>
      <c r="E10" s="3" t="inlineStr">
        <is>
          <t>cp</t>
        </is>
      </c>
      <c r="F10" s="3">
        <v>100.0</v>
      </c>
      <c r="G10" s="3">
        <v>0.0</v>
      </c>
      <c r="H10" s="3">
        <v>9.8</v>
      </c>
      <c r="I10" s="3">
        <v>-20.0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 t="inlineStr">
        <is>
          <t>piezo</t>
        </is>
      </c>
      <c r="Q10" s="3">
        <v>0.0</v>
      </c>
      <c r="R10" s="3">
        <v>3.3</v>
      </c>
      <c r="S10" s="3">
        <v>0.0</v>
      </c>
      <c r="T10" s="3">
        <v>0.0</v>
      </c>
      <c r="U10" s="3">
        <v>1.2</v>
      </c>
      <c r="V10" s="3">
        <v>0.0</v>
      </c>
      <c r="W10" s="3">
        <v>0.0</v>
      </c>
      <c r="X10" s="3">
        <v>0.0</v>
      </c>
      <c r="Y10" s="3">
        <v>0.0</v>
      </c>
      <c r="Z10" s="3">
        <v>0.0</v>
      </c>
      <c r="AA10" s="3" t="inlineStr">
        <is>
          <t>lf</t>
        </is>
      </c>
      <c r="AB10" s="3">
        <v>0.0</v>
      </c>
      <c r="AC10" s="3">
        <v>0.0</v>
      </c>
      <c r="AD10" s="3">
        <v>0.0</v>
      </c>
      <c r="AE10" s="3">
        <v>0.0</v>
      </c>
      <c r="AF10" s="3">
        <v>0.0</v>
      </c>
      <c r="AG10" s="3">
        <v>0.0</v>
      </c>
    </row>
    <row r="11" spans="1:33" x14ac:dyDescent="0.2">
      <c r="A11" s="3">
        <v>2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18"/>
      <c r="AE11" s="19"/>
      <c r="AF11" s="3"/>
      <c r="AG11" s="3"/>
    </row>
    <row r="12" spans="1:33" x14ac:dyDescent="0.2">
      <c r="A12" s="3">
        <v>3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18"/>
      <c r="AE12" s="19"/>
      <c r="AF12" s="3"/>
      <c r="AG12" s="3"/>
    </row>
    <row r="13" spans="1:33" x14ac:dyDescent="0.2">
      <c r="A13" s="3">
        <v>4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</row>
    <row r="14" spans="1:33" x14ac:dyDescent="0.2">
      <c r="A14" s="3">
        <v>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spans="1:33" x14ac:dyDescent="0.2">
      <c r="A15" s="3">
        <v>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spans="1:33" x14ac:dyDescent="0.2">
      <c r="A16" s="3">
        <v>7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1:33" x14ac:dyDescent="0.2">
      <c r="A17" s="3">
        <v>8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spans="1:33" x14ac:dyDescent="0.2">
      <c r="A18" s="3">
        <v>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 x14ac:dyDescent="0.2">
      <c r="A19" s="3">
        <v>10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1:33" x14ac:dyDescent="0.2">
      <c r="A20" s="3">
        <v>11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spans="1:33" x14ac:dyDescent="0.2">
      <c r="A21" s="3">
        <v>12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spans="1:33" x14ac:dyDescent="0.2">
      <c r="A22" s="3">
        <v>13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 spans="1:33" x14ac:dyDescent="0.2">
      <c r="A23" s="3">
        <v>14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 spans="1:33" x14ac:dyDescent="0.2">
      <c r="A24" s="3">
        <v>15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spans="1:33" x14ac:dyDescent="0.2"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3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3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3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3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3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3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1:23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1:23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1:23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1:23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1:23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1:23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1:23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1:23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1:23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1:23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1:23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1:23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1:23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1:23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1:23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1:23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1:23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1:23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1:23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</sheetData>
  <mergeCells count="4">
    <mergeCell ref="C8:O8"/>
    <mergeCell ref="R8:W8"/>
    <mergeCell ref="AF8:AG8"/>
    <mergeCell ref="X8:AE8"/>
  </mergeCells>
  <conditionalFormatting sqref="F10:I51">
    <cfRule type="expression" dxfId="14" priority="16">
      <formula>$E10="pow"</formula>
    </cfRule>
  </conditionalFormatting>
  <conditionalFormatting sqref="G10:G51">
    <cfRule type="expression" dxfId="13" priority="5">
      <formula>$E10="cp"</formula>
    </cfRule>
  </conditionalFormatting>
  <conditionalFormatting sqref="H10:I51">
    <cfRule type="expression" dxfId="12" priority="4">
      <formula>$E10="mc"</formula>
    </cfRule>
  </conditionalFormatting>
  <conditionalFormatting sqref="J10:K51">
    <cfRule type="expression" dxfId="11" priority="6">
      <formula>$E10="cp"</formula>
    </cfRule>
  </conditionalFormatting>
  <conditionalFormatting sqref="L10:O51">
    <cfRule type="expression" dxfId="10" priority="19">
      <formula>AND($E10&lt;&gt;"",$E10&lt;&gt;"pow")</formula>
    </cfRule>
  </conditionalFormatting>
  <conditionalFormatting sqref="Q10:Q51">
    <cfRule type="expression" dxfId="9" priority="20">
      <formula>AND($P10&lt;&gt;"",$P10&lt;&gt;"ru")</formula>
    </cfRule>
  </conditionalFormatting>
  <conditionalFormatting sqref="S10:U51">
    <cfRule type="expression" dxfId="8" priority="21">
      <formula>$E10="pow"</formula>
    </cfRule>
  </conditionalFormatting>
  <conditionalFormatting sqref="T10:T51">
    <cfRule type="expression" dxfId="7" priority="8">
      <formula>$E10="cp"</formula>
    </cfRule>
  </conditionalFormatting>
  <conditionalFormatting sqref="U10:U51">
    <cfRule type="expression" dxfId="6" priority="15">
      <formula>$E10="mc"</formula>
    </cfRule>
  </conditionalFormatting>
  <conditionalFormatting sqref="V10:W51">
    <cfRule type="expression" dxfId="5" priority="10">
      <formula>$E10="cp"</formula>
    </cfRule>
  </conditionalFormatting>
  <conditionalFormatting sqref="AB10:AC101">
    <cfRule type="expression" dxfId="4" priority="2">
      <formula>$AA10="vg"</formula>
    </cfRule>
  </conditionalFormatting>
  <conditionalFormatting sqref="AD10:AE101">
    <cfRule type="expression" dxfId="3" priority="1">
      <formula>$AA10="lf"</formula>
    </cfRule>
  </conditionalFormatting>
  <dataValidations count="3">
    <dataValidation type="list" allowBlank="1" showInputMessage="1" showErrorMessage="1" sqref="E10:E51" xr:uid="{374AFD2C-B540-DD4B-A245-8B781F76E64C}">
      <formula1>$C$3:$C$5</formula1>
    </dataValidation>
    <dataValidation type="list" allowBlank="1" showInputMessage="1" showErrorMessage="1" sqref="P10:P51" xr:uid="{D770415C-1ECE-F44B-9D8C-08EF1CF31C8E}">
      <formula1>$K$3:$K$6</formula1>
    </dataValidation>
    <dataValidation type="list" allowBlank="1" showInputMessage="1" showErrorMessage="1" sqref="AA10:AA101" xr:uid="{E00A94A9-D864-5843-8FBD-E84775B1C100}">
      <formula1>$AA$3:$AA$4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4E9FA-AFF6-A74D-8120-64FF6A371536}">
  <dimension ref="A2:AR2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46</v>
      </c>
      <c r="B2" s="3">
        <v>-143.0</v>
      </c>
      <c r="D2" s="27" t="s">
        <v>93</v>
      </c>
    </row>
    <row r="4" spans="1:44" x14ac:dyDescent="0.2">
      <c r="A4" s="55" t="inlineStr">
        <is>
          <t>Profile Line #1</t>
        </is>
      </c>
      <c r="B4" s="55"/>
      <c r="D4" s="55" t="s">
        <v>5</v>
      </c>
      <c r="E4" s="55"/>
      <c r="G4" s="55" t="s">
        <v>6</v>
      </c>
      <c r="H4" s="55"/>
      <c r="J4" s="55" t="s">
        <v>7</v>
      </c>
      <c r="K4" s="55"/>
      <c r="M4" s="55" t="s">
        <v>8</v>
      </c>
      <c r="N4" s="55"/>
      <c r="P4" s="55" t="s">
        <v>9</v>
      </c>
      <c r="Q4" s="55"/>
      <c r="R4" s="1"/>
      <c r="S4" s="55" t="s">
        <v>10</v>
      </c>
      <c r="T4" s="55"/>
      <c r="U4" s="1"/>
      <c r="V4" s="55" t="s">
        <v>11</v>
      </c>
      <c r="W4" s="55"/>
      <c r="X4" s="1"/>
      <c r="Y4" s="55" t="s">
        <v>12</v>
      </c>
      <c r="Z4" s="55"/>
      <c r="AA4" s="1"/>
      <c r="AB4" s="55" t="s">
        <v>13</v>
      </c>
      <c r="AC4" s="55"/>
      <c r="AE4" s="55" t="s">
        <v>111</v>
      </c>
      <c r="AF4" s="55"/>
      <c r="AG4" s="1"/>
      <c r="AH4" s="55" t="s">
        <v>112</v>
      </c>
      <c r="AI4" s="55"/>
      <c r="AJ4" s="1"/>
      <c r="AK4" s="55" t="s">
        <v>113</v>
      </c>
      <c r="AL4" s="55"/>
      <c r="AM4" s="1"/>
      <c r="AN4" s="55" t="s">
        <v>114</v>
      </c>
      <c r="AO4" s="55"/>
      <c r="AP4" s="1"/>
      <c r="AQ4" s="55" t="s">
        <v>115</v>
      </c>
      <c r="AR4" s="55"/>
    </row>
    <row r="5" spans="1:44" x14ac:dyDescent="0.2">
      <c r="A5" s="41" t="s">
        <v>123</v>
      </c>
      <c r="B5" s="42">
        <v>1</v>
      </c>
      <c r="D5" s="41" t="s">
        <v>123</v>
      </c>
      <c r="E5" s="42">
        <v>2</v>
      </c>
      <c r="G5" s="41" t="s">
        <v>123</v>
      </c>
      <c r="H5" s="42">
        <v>3</v>
      </c>
      <c r="J5" s="41" t="s">
        <v>123</v>
      </c>
      <c r="K5" s="42">
        <v>4</v>
      </c>
      <c r="M5" s="41" t="s">
        <v>123</v>
      </c>
      <c r="N5" s="42">
        <v>5</v>
      </c>
      <c r="P5" s="41" t="s">
        <v>123</v>
      </c>
      <c r="Q5" s="42">
        <v>6</v>
      </c>
      <c r="R5" s="1"/>
      <c r="S5" s="41" t="s">
        <v>123</v>
      </c>
      <c r="T5" s="42">
        <v>7</v>
      </c>
      <c r="U5" s="1"/>
      <c r="V5" s="41" t="s">
        <v>123</v>
      </c>
      <c r="W5" s="42">
        <v>8</v>
      </c>
      <c r="X5" s="1"/>
      <c r="Y5" s="41" t="s">
        <v>123</v>
      </c>
      <c r="Z5" s="42">
        <v>9</v>
      </c>
      <c r="AA5" s="1"/>
      <c r="AB5" s="41" t="s">
        <v>123</v>
      </c>
      <c r="AC5" s="42">
        <v>10</v>
      </c>
      <c r="AE5" s="41" t="s">
        <v>123</v>
      </c>
      <c r="AF5" s="42">
        <v>11</v>
      </c>
      <c r="AG5" s="1"/>
      <c r="AH5" s="41" t="s">
        <v>123</v>
      </c>
      <c r="AI5" s="42">
        <v>12</v>
      </c>
      <c r="AJ5" s="1"/>
      <c r="AK5" s="41" t="s">
        <v>123</v>
      </c>
      <c r="AL5" s="42">
        <v>13</v>
      </c>
      <c r="AM5" s="1"/>
      <c r="AN5" s="41" t="s">
        <v>123</v>
      </c>
      <c r="AO5" s="42">
        <v>14</v>
      </c>
      <c r="AP5" s="1"/>
      <c r="AQ5" s="41" t="s">
        <v>123</v>
      </c>
      <c r="AR5" s="42">
        <v>15</v>
      </c>
    </row>
    <row r="6" spans="1:44" x14ac:dyDescent="0.2">
      <c r="A6" s="53" t="str">
        <f>_xlfn.XLOOKUP(B5,mat!$A:$A, mat!$B:$B,"") &amp; ""</f>
        <v/>
      </c>
      <c r="B6" s="54"/>
      <c r="D6" s="53" t="str">
        <f>_xlfn.XLOOKUP(E5,mat!$A:$A, mat!$B:$B,"") &amp; ""</f>
        <v/>
      </c>
      <c r="E6" s="54"/>
      <c r="G6" s="53" t="str">
        <f>_xlfn.XLOOKUP(H5,mat!$A:$A, mat!$B:$B,"") &amp; ""</f>
        <v/>
      </c>
      <c r="H6" s="54"/>
      <c r="J6" s="53" t="str">
        <f>_xlfn.XLOOKUP(K5,mat!$A:$A, mat!$B:$B,"") &amp; ""</f>
        <v/>
      </c>
      <c r="K6" s="54"/>
      <c r="M6" s="53" t="str">
        <f>_xlfn.XLOOKUP(N5,mat!$A:$A, mat!$B:$B,"") &amp; ""</f>
        <v/>
      </c>
      <c r="N6" s="54"/>
      <c r="P6" s="53" t="str">
        <f>_xlfn.XLOOKUP(Q5,mat!$A:$A, mat!$B:$B,"") &amp; ""</f>
        <v/>
      </c>
      <c r="Q6" s="54"/>
      <c r="R6" s="1"/>
      <c r="S6" s="53" t="str">
        <f>_xlfn.XLOOKUP(T5,mat!$A:$A, mat!$B:$B,"") &amp; ""</f>
        <v/>
      </c>
      <c r="T6" s="54"/>
      <c r="U6" s="1"/>
      <c r="V6" s="53" t="str">
        <f>_xlfn.XLOOKUP(W5,mat!$A:$A, mat!$B:$B,"") &amp; ""</f>
        <v/>
      </c>
      <c r="W6" s="54"/>
      <c r="X6" s="1"/>
      <c r="Y6" s="53" t="str">
        <f>_xlfn.XLOOKUP(Z5,mat!$A:$A, mat!$B:$B,"") &amp; ""</f>
        <v/>
      </c>
      <c r="Z6" s="54"/>
      <c r="AA6" s="1"/>
      <c r="AB6" s="53" t="str">
        <f>_xlfn.XLOOKUP(AC5,mat!$A:$A, mat!$B:$B,"") &amp; ""</f>
        <v/>
      </c>
      <c r="AC6" s="54"/>
      <c r="AE6" s="53" t="str">
        <f>_xlfn.XLOOKUP(AF5,mat!$A:$A, mat!$B:$B,"") &amp; ""</f>
        <v/>
      </c>
      <c r="AF6" s="54"/>
      <c r="AG6" s="1"/>
      <c r="AH6" s="53" t="str">
        <f>_xlfn.XLOOKUP(AI5,mat!$A:$A, mat!$B:$B,"") &amp; ""</f>
        <v/>
      </c>
      <c r="AI6" s="54"/>
      <c r="AJ6" s="1"/>
      <c r="AK6" s="53" t="str">
        <f>_xlfn.XLOOKUP(AL5,mat!$A:$A, mat!$B:$B,"") &amp; ""</f>
        <v/>
      </c>
      <c r="AL6" s="54"/>
      <c r="AM6" s="1"/>
      <c r="AN6" s="53" t="str">
        <f>_xlfn.XLOOKUP(AO5,mat!$A:$A, mat!$B:$B,"") &amp; ""</f>
        <v/>
      </c>
      <c r="AO6" s="54"/>
      <c r="AP6" s="1"/>
      <c r="AQ6" s="53" t="str">
        <f>_xlfn.XLOOKUP(AR5,mat!$A:$A, mat!$B:$B,"") &amp; ""</f>
        <v/>
      </c>
      <c r="AR6" s="54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>
        <v>-28.0</v>
      </c>
      <c r="B8" s="3">
        <v>-40.0</v>
      </c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16"/>
      <c r="T8" s="17"/>
      <c r="U8" s="1"/>
      <c r="V8" s="16"/>
      <c r="W8" s="17"/>
      <c r="X8" s="1"/>
      <c r="Y8" s="16"/>
      <c r="Z8" s="17"/>
      <c r="AA8" s="1"/>
      <c r="AB8" s="16"/>
      <c r="AC8" s="17"/>
      <c r="AE8" s="3"/>
      <c r="AF8" s="3"/>
      <c r="AG8" s="1"/>
      <c r="AH8" s="16"/>
      <c r="AI8" s="17"/>
      <c r="AJ8" s="1"/>
      <c r="AK8" s="16"/>
      <c r="AL8" s="17"/>
      <c r="AM8" s="1"/>
      <c r="AN8" s="16"/>
      <c r="AO8" s="17"/>
      <c r="AP8" s="1"/>
      <c r="AQ8" s="16"/>
      <c r="AR8" s="17"/>
    </row>
    <row r="9" spans="1:44" x14ac:dyDescent="0.2">
      <c r="A9" s="3">
        <v>0.0</v>
      </c>
      <c r="B9" s="3">
        <v>-40.0</v>
      </c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8"/>
      <c r="T9" s="19"/>
      <c r="U9" s="1"/>
      <c r="V9" s="18"/>
      <c r="W9" s="19"/>
      <c r="X9" s="1"/>
      <c r="Y9" s="18"/>
      <c r="Z9" s="19"/>
      <c r="AA9" s="1"/>
      <c r="AB9" s="18"/>
      <c r="AC9" s="19"/>
      <c r="AE9" s="3"/>
      <c r="AF9" s="3"/>
      <c r="AG9" s="1"/>
      <c r="AH9" s="18"/>
      <c r="AI9" s="19"/>
      <c r="AJ9" s="1"/>
      <c r="AK9" s="18"/>
      <c r="AL9" s="19"/>
      <c r="AM9" s="1"/>
      <c r="AN9" s="18"/>
      <c r="AO9" s="19"/>
      <c r="AP9" s="1"/>
      <c r="AQ9" s="18"/>
      <c r="AR9" s="19"/>
    </row>
    <row r="10" spans="1:44" x14ac:dyDescent="0.2">
      <c r="A10" s="3">
        <v>71.0</v>
      </c>
      <c r="B10" s="3">
        <v>-120.0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138.0</v>
      </c>
      <c r="B11" s="3">
        <v>-120.0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6"/>
      <c r="W11" s="17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>
        <v>228.0</v>
      </c>
      <c r="B12" s="3">
        <v>-18.0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283.0</v>
      </c>
      <c r="B13" s="3">
        <v>-17.0</v>
      </c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>
        <v>350.0</v>
      </c>
      <c r="B14" s="3">
        <v>-8.0</v>
      </c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>
        <v>389.0</v>
      </c>
      <c r="B15" s="3">
        <v>22.0</v>
      </c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>
        <v>461.0</v>
      </c>
      <c r="B16" s="3">
        <v>22.0</v>
      </c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4:B4"/>
    <mergeCell ref="D4:E4"/>
    <mergeCell ref="G4:H4"/>
    <mergeCell ref="J4:K4"/>
    <mergeCell ref="M4:N4"/>
    <mergeCell ref="P4:Q4"/>
    <mergeCell ref="S4:T4"/>
    <mergeCell ref="V4:W4"/>
    <mergeCell ref="Y4:Z4"/>
    <mergeCell ref="AB4:AC4"/>
    <mergeCell ref="AE4:AF4"/>
    <mergeCell ref="AH4:AI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V6:W6"/>
    <mergeCell ref="Y6:Z6"/>
    <mergeCell ref="AB6:AC6"/>
    <mergeCell ref="AE6:AF6"/>
    <mergeCell ref="AH6:AI6"/>
    <mergeCell ref="AK6:AL6"/>
    <mergeCell ref="AN6:AO6"/>
    <mergeCell ref="AQ6:AR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92C43-9D03-6445-8931-028E950C2356}">
  <dimension ref="A2:AR27"/>
  <sheetViews>
    <sheetView showGridLines="0" zoomScale="140" zoomScaleNormal="140" workbookViewId="0">
      <selection activeCell="A8" sqref="A8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7" t="s">
        <v>169</v>
      </c>
    </row>
    <row r="4" spans="1:44" x14ac:dyDescent="0.2">
      <c r="A4" s="55" t="s">
        <v>150</v>
      </c>
      <c r="B4" s="55"/>
      <c r="D4" s="55" t="s">
        <v>151</v>
      </c>
      <c r="E4" s="55"/>
      <c r="G4" s="55" t="s">
        <v>152</v>
      </c>
      <c r="H4" s="55"/>
      <c r="J4" s="55" t="s">
        <v>153</v>
      </c>
      <c r="K4" s="55"/>
      <c r="M4" s="55" t="s">
        <v>154</v>
      </c>
      <c r="N4" s="55"/>
      <c r="P4" s="55" t="s">
        <v>155</v>
      </c>
      <c r="Q4" s="55"/>
      <c r="R4" s="1"/>
      <c r="S4" s="55" t="s">
        <v>156</v>
      </c>
      <c r="T4" s="55"/>
      <c r="U4" s="1"/>
      <c r="V4" s="55" t="s">
        <v>157</v>
      </c>
      <c r="W4" s="55"/>
      <c r="X4" s="1"/>
      <c r="Y4" s="55" t="s">
        <v>158</v>
      </c>
      <c r="Z4" s="55"/>
      <c r="AA4" s="1"/>
      <c r="AB4" s="55" t="s">
        <v>159</v>
      </c>
      <c r="AC4" s="55"/>
      <c r="AE4" s="55" t="s">
        <v>160</v>
      </c>
      <c r="AF4" s="55"/>
      <c r="AG4" s="1"/>
      <c r="AH4" s="55" t="s">
        <v>161</v>
      </c>
      <c r="AI4" s="55"/>
      <c r="AJ4" s="1"/>
      <c r="AK4" s="55" t="s">
        <v>162</v>
      </c>
      <c r="AL4" s="55"/>
      <c r="AM4" s="1"/>
      <c r="AN4" s="55" t="s">
        <v>163</v>
      </c>
      <c r="AO4" s="55"/>
      <c r="AP4" s="1"/>
      <c r="AQ4" s="55" t="s">
        <v>164</v>
      </c>
      <c r="AR4" s="55"/>
    </row>
    <row r="5" spans="1:44" x14ac:dyDescent="0.2">
      <c r="A5" s="43" t="s">
        <v>123</v>
      </c>
      <c r="B5" s="44">
        <v>1</v>
      </c>
      <c r="D5" s="43" t="s">
        <v>123</v>
      </c>
      <c r="E5" s="44">
        <v>2</v>
      </c>
      <c r="G5" s="43" t="s">
        <v>123</v>
      </c>
      <c r="H5" s="44">
        <v>3</v>
      </c>
      <c r="J5" s="43" t="s">
        <v>123</v>
      </c>
      <c r="K5" s="44">
        <v>4</v>
      </c>
      <c r="M5" s="43" t="s">
        <v>123</v>
      </c>
      <c r="N5" s="44">
        <v>5</v>
      </c>
      <c r="P5" s="43" t="s">
        <v>123</v>
      </c>
      <c r="Q5" s="44">
        <v>6</v>
      </c>
      <c r="R5" s="1"/>
      <c r="S5" s="43" t="s">
        <v>123</v>
      </c>
      <c r="T5" s="44">
        <v>7</v>
      </c>
      <c r="U5" s="1"/>
      <c r="V5" s="43" t="s">
        <v>123</v>
      </c>
      <c r="W5" s="44">
        <v>8</v>
      </c>
      <c r="X5" s="1"/>
      <c r="Y5" s="43" t="s">
        <v>123</v>
      </c>
      <c r="Z5" s="44">
        <v>9</v>
      </c>
      <c r="AA5" s="1"/>
      <c r="AB5" s="43" t="s">
        <v>123</v>
      </c>
      <c r="AC5" s="44">
        <v>10</v>
      </c>
      <c r="AE5" s="43" t="s">
        <v>123</v>
      </c>
      <c r="AF5" s="44">
        <v>11</v>
      </c>
      <c r="AG5" s="1"/>
      <c r="AH5" s="43" t="s">
        <v>123</v>
      </c>
      <c r="AI5" s="44">
        <v>12</v>
      </c>
      <c r="AJ5" s="1"/>
      <c r="AK5" s="43" t="s">
        <v>123</v>
      </c>
      <c r="AL5" s="44">
        <v>13</v>
      </c>
      <c r="AM5" s="1"/>
      <c r="AN5" s="43" t="s">
        <v>123</v>
      </c>
      <c r="AO5" s="44">
        <v>14</v>
      </c>
      <c r="AP5" s="1"/>
      <c r="AQ5" s="43" t="s">
        <v>123</v>
      </c>
      <c r="AR5" s="44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/>
      <c r="B8" s="3"/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3"/>
      <c r="T8" s="3"/>
      <c r="U8" s="1"/>
      <c r="V8" s="3"/>
      <c r="W8" s="3"/>
      <c r="X8" s="1"/>
      <c r="Y8" s="3"/>
      <c r="Z8" s="3"/>
      <c r="AA8" s="1"/>
      <c r="AB8" s="3"/>
      <c r="AC8" s="3"/>
      <c r="AE8" s="3"/>
      <c r="AF8" s="3"/>
      <c r="AG8" s="1"/>
      <c r="AH8" s="3"/>
      <c r="AI8" s="3"/>
      <c r="AJ8" s="1"/>
      <c r="AK8" s="3"/>
      <c r="AL8" s="3"/>
      <c r="AM8" s="1"/>
      <c r="AN8" s="3"/>
      <c r="AO8" s="3"/>
      <c r="AP8" s="1"/>
      <c r="AQ8" s="3"/>
      <c r="AR8" s="3"/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3"/>
      <c r="T9" s="3"/>
      <c r="U9" s="1"/>
      <c r="V9" s="3"/>
      <c r="W9" s="3"/>
      <c r="X9" s="1"/>
      <c r="Y9" s="3"/>
      <c r="Z9" s="3"/>
      <c r="AA9" s="1"/>
      <c r="AB9" s="3"/>
      <c r="AC9" s="3"/>
      <c r="AE9" s="3"/>
      <c r="AF9" s="3"/>
      <c r="AG9" s="1"/>
      <c r="AH9" s="3"/>
      <c r="AI9" s="3"/>
      <c r="AJ9" s="1"/>
      <c r="AK9" s="3"/>
      <c r="AL9" s="3"/>
      <c r="AM9" s="1"/>
      <c r="AN9" s="3"/>
      <c r="AO9" s="3"/>
      <c r="AP9" s="1"/>
      <c r="AQ9" s="3"/>
      <c r="AR9" s="3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P4:Q4"/>
    <mergeCell ref="A4:B4"/>
    <mergeCell ref="D4:E4"/>
    <mergeCell ref="G4:H4"/>
    <mergeCell ref="J4:K4"/>
    <mergeCell ref="M4:N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S4:T4"/>
    <mergeCell ref="V4:W4"/>
    <mergeCell ref="Y4:Z4"/>
    <mergeCell ref="AB4:AC4"/>
    <mergeCell ref="AE4:AF4"/>
    <mergeCell ref="AH4:AI4"/>
    <mergeCell ref="AN6:AO6"/>
    <mergeCell ref="AQ6:AR6"/>
    <mergeCell ref="V6:W6"/>
    <mergeCell ref="Y6:Z6"/>
    <mergeCell ref="AB6:AC6"/>
    <mergeCell ref="AE6:AF6"/>
    <mergeCell ref="AH6:AI6"/>
    <mergeCell ref="AK6:AL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1F343-68A5-3340-AF23-43D8E7E1F914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8" t="s">
        <v>84</v>
      </c>
      <c r="B2" s="58"/>
      <c r="D2" s="59" t="s">
        <v>82</v>
      </c>
      <c r="E2" s="59"/>
      <c r="G2" s="24" t="s">
        <v>83</v>
      </c>
    </row>
    <row r="3" spans="1:8" x14ac:dyDescent="0.2">
      <c r="A3" s="37" t="s">
        <v>212</v>
      </c>
      <c r="B3" s="38" t="inlineStr">
        <is>
          <t>piezo</t>
        </is>
      </c>
      <c r="D3" s="39" t="s">
        <v>212</v>
      </c>
      <c r="E3" s="40" t="inlineStr">
        <is>
          <t>piezo</t>
        </is>
      </c>
      <c r="G3" s="24"/>
    </row>
    <row r="4" spans="1:8" x14ac:dyDescent="0.2">
      <c r="A4" s="2" t="s">
        <v>3</v>
      </c>
      <c r="B4" s="2" t="s">
        <v>4</v>
      </c>
      <c r="D4" s="2" t="s">
        <v>3</v>
      </c>
      <c r="E4" s="2" t="s">
        <v>4</v>
      </c>
      <c r="G4" s="6" t="s">
        <v>213</v>
      </c>
      <c r="H4" s="1"/>
    </row>
    <row r="5" spans="1:8" x14ac:dyDescent="0.2">
      <c r="A5" s="3">
        <v>-28.0</v>
      </c>
      <c r="B5" s="3">
        <v>0.0</v>
      </c>
      <c r="D5" s="3"/>
      <c r="E5" s="3"/>
      <c r="G5" s="1" t="s">
        <v>21</v>
      </c>
      <c r="H5" t="s">
        <v>216</v>
      </c>
    </row>
    <row r="6" spans="1:8" x14ac:dyDescent="0.2">
      <c r="A6" s="3">
        <v>461.0</v>
      </c>
      <c r="B6" s="3">
        <v>0.0</v>
      </c>
      <c r="D6" s="3"/>
      <c r="E6" s="3"/>
      <c r="G6" s="1" t="s">
        <v>214</v>
      </c>
      <c r="H6" t="s">
        <v>215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62365587-5741-D749-B74F-CDA32F05212C}">
      <formula1>$G$5:$G$6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556E9-786A-E84F-BF20-677A5EE9D63D}">
  <dimension ref="A2:N16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61</v>
      </c>
      <c r="C2" s="13" t="s">
        <v>62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64</v>
      </c>
      <c r="J2" s="5" t="s">
        <v>30</v>
      </c>
      <c r="K2" s="10" t="s">
        <v>16</v>
      </c>
    </row>
    <row r="3" spans="1:14" x14ac:dyDescent="0.2">
      <c r="A3" s="3">
        <v>1</v>
      </c>
      <c r="B3" s="3">
        <v>131.484</v>
      </c>
      <c r="C3" s="3">
        <v>148.399</v>
      </c>
      <c r="D3" s="3" t="inlineStr">
        <is>
          <t>Depth</t>
        </is>
      </c>
      <c r="E3" s="3">
        <v>-120.321</v>
      </c>
      <c r="F3" s="3"/>
      <c r="G3" s="3"/>
      <c r="H3" s="3"/>
      <c r="J3" s="1" t="s">
        <v>26</v>
      </c>
      <c r="K3" s="9" t="s">
        <v>31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63</v>
      </c>
      <c r="K5" t="s">
        <v>65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6E9E004-FC39-FE49-926A-912F810F5089}">
      <formula1>$J$3:$J$5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0242D-B699-0640-AD9C-590D8F82AC0F}">
  <dimension ref="A2:F23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>
        <v>136.0</v>
      </c>
      <c r="B3" s="3">
        <v>-119.6</v>
      </c>
      <c r="C3" s="3" t="inlineStr">
        <is>
          <t>Free</t>
        </is>
      </c>
      <c r="E3" t="s">
        <v>40</v>
      </c>
      <c r="F3" t="s">
        <v>42</v>
      </c>
    </row>
    <row r="4" spans="1:6" x14ac:dyDescent="0.2">
      <c r="A4" s="3">
        <v>137.767</v>
      </c>
      <c r="B4" s="3">
        <v>-120.245</v>
      </c>
      <c r="C4" s="3" t="inlineStr">
        <is>
          <t>Horiz</t>
        </is>
      </c>
      <c r="E4" t="s">
        <v>41</v>
      </c>
      <c r="F4" t="s">
        <v>43</v>
      </c>
    </row>
    <row r="5" spans="1:6" x14ac:dyDescent="0.2">
      <c r="A5" s="3">
        <v>160.0</v>
      </c>
      <c r="B5" s="3">
        <v>-106.9</v>
      </c>
      <c r="C5" s="3" t="inlineStr">
        <is>
          <t>Horiz</t>
        </is>
      </c>
      <c r="E5" t="s">
        <v>76</v>
      </c>
      <c r="F5" t="s">
        <v>77</v>
      </c>
    </row>
    <row r="6" spans="1:6" x14ac:dyDescent="0.2">
      <c r="A6" s="3">
        <v>180.0</v>
      </c>
      <c r="B6" s="3">
        <v>-104.6</v>
      </c>
      <c r="C6" s="3" t="inlineStr">
        <is>
          <t>Horiz</t>
        </is>
      </c>
    </row>
    <row r="7" spans="1:6" x14ac:dyDescent="0.2">
      <c r="A7" s="3">
        <v>200.0</v>
      </c>
      <c r="B7" s="3">
        <v>-97.1</v>
      </c>
      <c r="C7" s="3" t="inlineStr">
        <is>
          <t>Horiz</t>
        </is>
      </c>
    </row>
    <row r="8" spans="1:6" x14ac:dyDescent="0.2">
      <c r="A8" s="3">
        <v>220.0</v>
      </c>
      <c r="B8" s="3">
        <v>-89.7</v>
      </c>
      <c r="C8" s="3" t="inlineStr">
        <is>
          <t>Horiz</t>
        </is>
      </c>
    </row>
    <row r="9" spans="1:6" x14ac:dyDescent="0.2">
      <c r="A9" s="3">
        <v>240.0</v>
      </c>
      <c r="B9" s="3">
        <v>-79.9</v>
      </c>
      <c r="C9" s="3" t="inlineStr">
        <is>
          <t>Horiz</t>
        </is>
      </c>
    </row>
    <row r="10" spans="1:6" x14ac:dyDescent="0.2">
      <c r="A10" s="3">
        <v>260.0</v>
      </c>
      <c r="B10" s="3">
        <v>-71.5</v>
      </c>
      <c r="C10" s="3" t="inlineStr">
        <is>
          <t>Horiz</t>
        </is>
      </c>
    </row>
    <row r="11" spans="1:6" x14ac:dyDescent="0.2">
      <c r="A11" s="3">
        <v>280.0</v>
      </c>
      <c r="B11" s="3">
        <v>-59.0</v>
      </c>
      <c r="C11" s="3" t="inlineStr">
        <is>
          <t>Horiz</t>
        </is>
      </c>
    </row>
    <row r="12" spans="1:6" x14ac:dyDescent="0.2">
      <c r="A12" s="3">
        <v>300.0</v>
      </c>
      <c r="B12" s="3">
        <v>-47.9</v>
      </c>
      <c r="C12" s="3" t="inlineStr">
        <is>
          <t>Horiz</t>
        </is>
      </c>
    </row>
    <row r="13" spans="1:6" x14ac:dyDescent="0.2">
      <c r="A13" s="3">
        <v>320.0</v>
      </c>
      <c r="B13" s="3">
        <v>-33.1</v>
      </c>
      <c r="C13" s="3" t="inlineStr">
        <is>
          <t>Horiz</t>
        </is>
      </c>
    </row>
    <row r="14" spans="1:6" x14ac:dyDescent="0.2">
      <c r="A14" s="3">
        <v>340.0</v>
      </c>
      <c r="B14" s="3">
        <v>-16.0</v>
      </c>
      <c r="C14" s="3" t="inlineStr">
        <is>
          <t>Horiz</t>
        </is>
      </c>
    </row>
    <row r="15" spans="1:6" x14ac:dyDescent="0.2">
      <c r="A15" s="3">
        <v>350.168</v>
      </c>
      <c r="B15" s="3">
        <v>-7.761</v>
      </c>
      <c r="C15" s="3" t="inlineStr">
        <is>
          <t>Free</t>
        </is>
      </c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AA25ABA8-BD81-3340-AC36-04678AD547F3}">
      <formula1>$E$3:$E$5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9B78E-FBCC-4E41-BB37-C8D0D27B23E8}">
  <dimension ref="B2:X2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0" t="s">
        <v>124</v>
      </c>
      <c r="C2" s="60"/>
      <c r="D2" s="60"/>
      <c r="F2" s="60" t="s">
        <v>125</v>
      </c>
      <c r="G2" s="60"/>
      <c r="H2" s="60"/>
      <c r="J2" s="60" t="s">
        <v>126</v>
      </c>
      <c r="K2" s="60"/>
      <c r="L2" s="60"/>
      <c r="N2" s="60" t="s">
        <v>127</v>
      </c>
      <c r="O2" s="60"/>
      <c r="P2" s="60"/>
      <c r="R2" s="60" t="s">
        <v>128</v>
      </c>
      <c r="S2" s="60"/>
      <c r="T2" s="60"/>
      <c r="V2" s="60" t="s">
        <v>129</v>
      </c>
      <c r="W2" s="60"/>
      <c r="X2" s="60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>
        <v>-28.0</v>
      </c>
      <c r="C4" s="3">
        <v>-40.0</v>
      </c>
      <c r="D4" s="3">
        <v>2496.0</v>
      </c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>
        <v>0.0</v>
      </c>
      <c r="C5" s="3">
        <v>-40.0</v>
      </c>
      <c r="D5" s="3">
        <v>2496.0</v>
      </c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>
        <v>71.0</v>
      </c>
      <c r="C6" s="3">
        <v>-120.0</v>
      </c>
      <c r="D6" s="3">
        <v>7488.0</v>
      </c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>
        <v>138.0</v>
      </c>
      <c r="C7" s="3">
        <v>-120.0</v>
      </c>
      <c r="D7" s="3">
        <v>7488.0</v>
      </c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>
        <v>228.0</v>
      </c>
      <c r="C8" s="3">
        <v>-18.0</v>
      </c>
      <c r="D8" s="3">
        <v>1123.2</v>
      </c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>
        <v>283.0</v>
      </c>
      <c r="C9" s="3">
        <v>-17.0</v>
      </c>
      <c r="D9" s="3">
        <v>1060.8</v>
      </c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>
        <v>350.0</v>
      </c>
      <c r="C10" s="3">
        <v>-8.0</v>
      </c>
      <c r="D10" s="3">
        <v>499.2</v>
      </c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>
        <v>360.4</v>
      </c>
      <c r="C11" s="3">
        <v>0.0</v>
      </c>
      <c r="D11" s="3">
        <v>0.0</v>
      </c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A122E-8CB6-264D-BE4D-4184948E7CD8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1" t="s">
        <v>142</v>
      </c>
      <c r="C2" s="61"/>
      <c r="D2" s="61"/>
      <c r="F2" s="61" t="s">
        <v>143</v>
      </c>
      <c r="G2" s="61"/>
      <c r="H2" s="61"/>
      <c r="J2" s="61" t="s">
        <v>144</v>
      </c>
      <c r="K2" s="61"/>
      <c r="L2" s="61"/>
      <c r="N2" s="61" t="s">
        <v>145</v>
      </c>
      <c r="O2" s="61"/>
      <c r="P2" s="61"/>
      <c r="R2" s="61" t="s">
        <v>146</v>
      </c>
      <c r="S2" s="61"/>
      <c r="T2" s="61"/>
      <c r="V2" s="61" t="s">
        <v>147</v>
      </c>
      <c r="W2" s="61"/>
      <c r="X2" s="61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CF166-6531-CC44-B460-D72E6A0F66E6}">
  <dimension ref="A2:AB25"/>
  <sheetViews>
    <sheetView showGridLines="0" zoomScale="140" zoomScaleNormal="140" workbookViewId="0">
      <selection activeCell="T31" sqref="T31"/>
    </sheetView>
  </sheetViews>
  <sheetFormatPr baseColWidth="10" defaultRowHeight="16" x14ac:dyDescent="0.2"/>
  <cols>
    <col min="1" max="1" width="4.83203125" style="1" customWidth="1"/>
    <col min="2" max="6" width="10.83203125" style="1"/>
    <col min="7" max="7" width="13.1640625" customWidth="1"/>
    <col min="10" max="12" width="10.83203125" style="1"/>
    <col min="16" max="18" width="10.83203125" style="1"/>
    <col min="19" max="19" width="4.33203125" customWidth="1"/>
  </cols>
  <sheetData>
    <row r="2" spans="1:28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208</v>
      </c>
      <c r="H2" s="45" t="s">
        <v>209</v>
      </c>
      <c r="I2" s="45" t="s">
        <v>193</v>
      </c>
      <c r="J2" s="32" t="s">
        <v>107</v>
      </c>
      <c r="K2" s="32" t="s">
        <v>108</v>
      </c>
      <c r="L2" s="32" t="s">
        <v>109</v>
      </c>
      <c r="M2" s="32" t="s">
        <v>194</v>
      </c>
      <c r="N2" s="32" t="s">
        <v>195</v>
      </c>
      <c r="O2" s="32" t="s">
        <v>210</v>
      </c>
      <c r="P2" s="33" t="s">
        <v>110</v>
      </c>
      <c r="Q2" s="33" t="s">
        <v>100</v>
      </c>
      <c r="R2" s="33" t="s">
        <v>106</v>
      </c>
      <c r="Z2" t="s">
        <v>196</v>
      </c>
      <c r="AA2" t="s">
        <v>197</v>
      </c>
      <c r="AB2" t="s">
        <v>198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199</v>
      </c>
      <c r="AA3" t="s">
        <v>200</v>
      </c>
      <c r="AB3" t="s">
        <v>201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202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203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196</v>
      </c>
      <c r="AA8" t="s">
        <v>197</v>
      </c>
      <c r="AB8" t="s">
        <v>198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199</v>
      </c>
      <c r="AA9" t="s">
        <v>200</v>
      </c>
      <c r="AB9" t="s">
        <v>201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202</v>
      </c>
      <c r="AA10" t="s">
        <v>200</v>
      </c>
      <c r="AB10" t="s">
        <v>198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203</v>
      </c>
      <c r="AA11" t="s">
        <v>200</v>
      </c>
      <c r="AB11" t="s">
        <v>198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7"/>
      <c r="U23" t="s">
        <v>174</v>
      </c>
    </row>
    <row r="24" spans="1:21" x14ac:dyDescent="0.2">
      <c r="K24" s="9"/>
      <c r="L24" s="9"/>
      <c r="T24" s="31"/>
      <c r="U24" s="9" t="s">
        <v>175</v>
      </c>
    </row>
    <row r="25" spans="1:21" x14ac:dyDescent="0.2">
      <c r="K25" s="9"/>
      <c r="L25" s="9"/>
      <c r="T25" s="34"/>
      <c r="U25" s="9" t="s">
        <v>176</v>
      </c>
    </row>
  </sheetData>
  <dataValidations count="3">
    <dataValidation type="list" allowBlank="1" showInputMessage="1" showErrorMessage="1" sqref="G3:G22" xr:uid="{00000000-0002-0000-0A00-000000000000}">
      <formula1>$Z$2:$Z$5</formula1>
    </dataValidation>
    <dataValidation type="list" allowBlank="1" showInputMessage="1" showErrorMessage="1" sqref="H3:H22" xr:uid="{00000000-0002-0000-0A00-000001000000}">
      <formula1>$AA$2:$AA$3</formula1>
    </dataValidation>
    <dataValidation type="list" allowBlank="1" showInputMessage="1" showErrorMessage="1" sqref="I3:I22" xr:uid="{00000000-0002-0000-0A00-000002000000}">
      <formula1>$AB$2:$AB$3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6221D-E989-B546-ACAF-CEB4607C51A1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/>
    <col min="9" max="9" width="14.5" customWidth="1"/>
    <col min="10" max="17" width="10.83203125" style="1"/>
    <col min="18" max="18" width="5.5" customWidth="1"/>
  </cols>
  <sheetData>
    <row r="2" spans="1:27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165</v>
      </c>
      <c r="H2" s="45" t="s">
        <v>173</v>
      </c>
      <c r="I2" s="45" t="s">
        <v>193</v>
      </c>
      <c r="J2" s="32" t="s">
        <v>166</v>
      </c>
      <c r="K2" s="32" t="s">
        <v>167</v>
      </c>
      <c r="L2" s="46" t="s">
        <v>170</v>
      </c>
      <c r="M2" s="46" t="s">
        <v>171</v>
      </c>
      <c r="N2" s="33" t="s">
        <v>100</v>
      </c>
      <c r="O2" s="33" t="s">
        <v>168</v>
      </c>
      <c r="P2" s="33" t="s">
        <v>106</v>
      </c>
      <c r="Q2" s="33" t="s">
        <v>177</v>
      </c>
      <c r="Z2" t="s">
        <v>40</v>
      </c>
      <c r="AA2" t="s">
        <v>198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76</v>
      </c>
      <c r="AA3" t="s">
        <v>201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7"/>
      <c r="T16" t="s">
        <v>174</v>
      </c>
    </row>
    <row r="17" spans="19:20" x14ac:dyDescent="0.2">
      <c r="S17" s="31"/>
      <c r="T17" s="9" t="s">
        <v>175</v>
      </c>
    </row>
    <row r="18" spans="19:20" x14ac:dyDescent="0.2">
      <c r="S18" s="34"/>
      <c r="T18" s="9" t="s">
        <v>176</v>
      </c>
    </row>
  </sheetData>
  <dataValidations count="2">
    <dataValidation type="list" allowBlank="1" showInputMessage="1" showErrorMessage="1" sqref="Q3:Q12" xr:uid="{BD18340F-2DC3-724E-BE00-EA96ECBB898C}">
      <formula1>$Z$2:$Z$3</formula1>
    </dataValidation>
    <dataValidation type="list" allowBlank="1" showInputMessage="1" showErrorMessage="1" sqref="I3:I12" xr:uid="{00000000-0002-0000-0B00-000001000000}">
      <formula1>$AA$2:$AA$3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07123-52EA-314A-81EF-989A42CB4DFE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25</v>
      </c>
      <c r="B2" s="12" t="s">
        <v>172</v>
      </c>
      <c r="C2" s="12" t="s">
        <v>3</v>
      </c>
      <c r="D2" s="12" t="s">
        <v>4</v>
      </c>
      <c r="E2" s="12" t="s">
        <v>204</v>
      </c>
      <c r="F2" s="12" t="s">
        <v>211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36245-91C1-5842-93DD-735018175DE8}">
  <dimension ref="B2:R24"/>
  <sheetViews>
    <sheetView showGridLines="0" zoomScale="140" zoomScaleNormal="140" workbookViewId="0">
      <selection activeCell="E3" sqref="E3:F3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2" t="s">
        <v>135</v>
      </c>
      <c r="C2" s="62"/>
      <c r="E2" s="58" t="s">
        <v>130</v>
      </c>
      <c r="F2" s="58"/>
      <c r="H2" s="58" t="s">
        <v>131</v>
      </c>
      <c r="I2" s="58"/>
      <c r="K2" s="58" t="s">
        <v>132</v>
      </c>
      <c r="L2" s="58"/>
      <c r="N2" s="58" t="s">
        <v>133</v>
      </c>
      <c r="O2" s="58"/>
      <c r="Q2" s="58" t="s">
        <v>134</v>
      </c>
      <c r="R2" s="58"/>
    </row>
    <row r="3" spans="2:18" x14ac:dyDescent="0.2">
      <c r="B3" s="62"/>
      <c r="C3" s="62"/>
      <c r="E3" s="37" t="s">
        <v>94</v>
      </c>
      <c r="F3" s="38"/>
      <c r="H3" s="37" t="s">
        <v>94</v>
      </c>
      <c r="I3" s="38"/>
      <c r="K3" s="37" t="s">
        <v>94</v>
      </c>
      <c r="L3" s="38"/>
      <c r="N3" s="37" t="s">
        <v>94</v>
      </c>
      <c r="O3" s="38"/>
      <c r="Q3" s="37" t="s">
        <v>94</v>
      </c>
      <c r="R3" s="38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B2:C3"/>
    <mergeCell ref="N2:O2"/>
    <mergeCell ref="Q2:R2"/>
    <mergeCell ref="K2:L2"/>
    <mergeCell ref="E2:F2"/>
    <mergeCell ref="H2:I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3C734-6227-7445-884D-1F1A5F3909C7}">
  <dimension ref="B2:R24"/>
  <sheetViews>
    <sheetView showGridLines="0" zoomScale="140" zoomScaleNormal="140" workbookViewId="0">
      <selection activeCell="H3" sqref="H3:I3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3" t="s">
        <v>137</v>
      </c>
      <c r="C2" s="63"/>
      <c r="E2" s="59" t="s">
        <v>136</v>
      </c>
      <c r="F2" s="59"/>
      <c r="H2" s="59" t="s">
        <v>138</v>
      </c>
      <c r="I2" s="59"/>
      <c r="K2" s="59" t="s">
        <v>139</v>
      </c>
      <c r="L2" s="59"/>
      <c r="N2" s="59" t="s">
        <v>140</v>
      </c>
      <c r="O2" s="59"/>
      <c r="Q2" s="59" t="s">
        <v>141</v>
      </c>
      <c r="R2" s="59"/>
    </row>
    <row r="3" spans="2:18" x14ac:dyDescent="0.2">
      <c r="B3" s="63"/>
      <c r="C3" s="63"/>
      <c r="E3" s="39" t="s">
        <v>94</v>
      </c>
      <c r="F3" s="40"/>
      <c r="H3" s="39" t="s">
        <v>94</v>
      </c>
      <c r="I3" s="40"/>
      <c r="K3" s="39" t="s">
        <v>94</v>
      </c>
      <c r="L3" s="40"/>
      <c r="N3" s="39" t="s">
        <v>94</v>
      </c>
      <c r="O3" s="40"/>
      <c r="Q3" s="39" t="s">
        <v>94</v>
      </c>
      <c r="R3" s="40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B2:C3"/>
    <mergeCell ref="E2:F2"/>
    <mergeCell ref="H2:I2"/>
    <mergeCell ref="K2:L2"/>
    <mergeCell ref="N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plot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crack_depth</vt:lpstr>
      <vt:lpstr>crack_depth_water</vt:lpstr>
      <vt:lpstr>gamma_w</vt:lpstr>
      <vt:lpstr>k</vt:lpstr>
      <vt:lpstr>max_depth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2026-07-12T02:19:35Z</dcterms:modified>
</cp:coreProperties>
</file>