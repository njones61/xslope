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D53F4FFA-A72E-9849-8C3B-3C3A51EB7D83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<sst xmlns="http://schemas.openxmlformats.org/spreadsheetml/2006/main" count="412" uniqueCount="212">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</sst>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12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Material 1</t>
        </is>
      </c>
      <c r="C10" s="3">
        <v>15.68</v>
      </c>
      <c r="D10" s="3"/>
      <c r="E10" s="3" t="inlineStr">
        <is>
          <t>mc</t>
        </is>
      </c>
      <c r="F10" s="3">
        <v>4.9</v>
      </c>
      <c r="G10" s="3">
        <v>10.0</v>
      </c>
      <c r="H10" s="3">
        <v>0.0</v>
      </c>
      <c r="I10" s="3">
        <v>0.0</v>
      </c>
      <c r="J10" s="3">
        <v>0.0</v>
      </c>
      <c r="K10" s="3">
        <v>0.0</v>
      </c>
      <c r="L10" s="3"/>
      <c r="M10" s="3"/>
      <c r="N10" s="3"/>
      <c r="O10" s="3"/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-5.0</v>
      </c>
      <c r="D2" s="27" t="s">
        <v>93</v>
      </c>
    </row>
    <row r="4" spans="1:44" x14ac:dyDescent="0.2">
      <c r="A4" s="53" t="inlineStr">
        <is>
          <t>Profile Line #1</t>
        </is>
      </c>
      <c r="B4" s="53"/>
      <c r="D4" s="53" t="s">
        <v>5</v>
      </c>
      <c r="E4" s="53"/>
      <c r="G4" s="53" t="s">
        <v>6</v>
      </c>
      <c r="H4" s="53"/>
      <c r="J4" s="53" t="s">
        <v>7</v>
      </c>
      <c r="K4" s="53"/>
      <c r="M4" s="53" t="s">
        <v>8</v>
      </c>
      <c r="N4" s="53"/>
      <c r="P4" s="53" t="s">
        <v>9</v>
      </c>
      <c r="Q4" s="53"/>
      <c r="R4" s="1"/>
      <c r="S4" s="53" t="s">
        <v>10</v>
      </c>
      <c r="T4" s="53"/>
      <c r="U4" s="1"/>
      <c r="V4" s="53" t="s">
        <v>11</v>
      </c>
      <c r="W4" s="53"/>
      <c r="X4" s="1"/>
      <c r="Y4" s="53" t="s">
        <v>12</v>
      </c>
      <c r="Z4" s="53"/>
      <c r="AA4" s="1"/>
      <c r="AB4" s="53" t="s">
        <v>13</v>
      </c>
      <c r="AC4" s="53"/>
      <c r="AE4" s="53" t="s">
        <v>111</v>
      </c>
      <c r="AF4" s="53"/>
      <c r="AG4" s="1"/>
      <c r="AH4" s="53" t="s">
        <v>112</v>
      </c>
      <c r="AI4" s="53"/>
      <c r="AJ4" s="1"/>
      <c r="AK4" s="53" t="s">
        <v>113</v>
      </c>
      <c r="AL4" s="53"/>
      <c r="AM4" s="1"/>
      <c r="AN4" s="53" t="s">
        <v>114</v>
      </c>
      <c r="AO4" s="53"/>
      <c r="AP4" s="1"/>
      <c r="AQ4" s="53" t="s">
        <v>115</v>
      </c>
      <c r="AR4" s="53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4" t="str">
        <f>_xlfn.XLOOKUP(B5,mat!$A:$A, mat!$B:$B,"") &amp; ""</f>
        <v/>
      </c>
      <c r="B6" s="55"/>
      <c r="D6" s="54" t="str">
        <f>_xlfn.XLOOKUP(E5,mat!$A:$A, mat!$B:$B,"") &amp; ""</f>
        <v/>
      </c>
      <c r="E6" s="55"/>
      <c r="G6" s="54" t="str">
        <f>_xlfn.XLOOKUP(H5,mat!$A:$A, mat!$B:$B,"") &amp; ""</f>
        <v/>
      </c>
      <c r="H6" s="55"/>
      <c r="J6" s="54" t="str">
        <f>_xlfn.XLOOKUP(K5,mat!$A:$A, mat!$B:$B,"") &amp; ""</f>
        <v/>
      </c>
      <c r="K6" s="55"/>
      <c r="M6" s="54" t="str">
        <f>_xlfn.XLOOKUP(N5,mat!$A:$A, mat!$B:$B,"") &amp; ""</f>
        <v/>
      </c>
      <c r="N6" s="55"/>
      <c r="P6" s="54" t="str">
        <f>_xlfn.XLOOKUP(Q5,mat!$A:$A, mat!$B:$B,"") &amp; ""</f>
        <v/>
      </c>
      <c r="Q6" s="55"/>
      <c r="R6" s="1"/>
      <c r="S6" s="54" t="str">
        <f>_xlfn.XLOOKUP(T5,mat!$A:$A, mat!$B:$B,"") &amp; ""</f>
        <v/>
      </c>
      <c r="T6" s="55"/>
      <c r="U6" s="1"/>
      <c r="V6" s="54" t="str">
        <f>_xlfn.XLOOKUP(W5,mat!$A:$A, mat!$B:$B,"") &amp; ""</f>
        <v/>
      </c>
      <c r="W6" s="55"/>
      <c r="X6" s="1"/>
      <c r="Y6" s="54" t="str">
        <f>_xlfn.XLOOKUP(Z5,mat!$A:$A, mat!$B:$B,"") &amp; ""</f>
        <v/>
      </c>
      <c r="Z6" s="55"/>
      <c r="AA6" s="1"/>
      <c r="AB6" s="54" t="str">
        <f>_xlfn.XLOOKUP(AC5,mat!$A:$A, mat!$B:$B,"") &amp; ""</f>
        <v/>
      </c>
      <c r="AC6" s="55"/>
      <c r="AE6" s="54" t="str">
        <f>_xlfn.XLOOKUP(AF5,mat!$A:$A, mat!$B:$B,"") &amp; ""</f>
        <v/>
      </c>
      <c r="AF6" s="55"/>
      <c r="AG6" s="1"/>
      <c r="AH6" s="54" t="str">
        <f>_xlfn.XLOOKUP(AI5,mat!$A:$A, mat!$B:$B,"") &amp; ""</f>
        <v/>
      </c>
      <c r="AI6" s="55"/>
      <c r="AJ6" s="1"/>
      <c r="AK6" s="54" t="str">
        <f>_xlfn.XLOOKUP(AL5,mat!$A:$A, mat!$B:$B,"") &amp; ""</f>
        <v/>
      </c>
      <c r="AL6" s="55"/>
      <c r="AM6" s="1"/>
      <c r="AN6" s="54" t="str">
        <f>_xlfn.XLOOKUP(AO5,mat!$A:$A, mat!$B:$B,"") &amp; ""</f>
        <v/>
      </c>
      <c r="AO6" s="55"/>
      <c r="AP6" s="1"/>
      <c r="AQ6" s="54" t="str">
        <f>_xlfn.XLOOKUP(AR5,mat!$A:$A, mat!$B:$B,"") &amp; ""</f>
        <v/>
      </c>
      <c r="AR6" s="55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-6.0</v>
      </c>
      <c r="B8" s="3">
        <v>0.0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8.0</v>
      </c>
      <c r="B10" s="3">
        <v>4.0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12.0</v>
      </c>
      <c r="B11" s="3">
        <v>4.0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3" t="s">
        <v>150</v>
      </c>
      <c r="B4" s="53"/>
      <c r="D4" s="53" t="s">
        <v>151</v>
      </c>
      <c r="E4" s="53"/>
      <c r="G4" s="53" t="s">
        <v>152</v>
      </c>
      <c r="H4" s="53"/>
      <c r="J4" s="53" t="s">
        <v>153</v>
      </c>
      <c r="K4" s="53"/>
      <c r="M4" s="53" t="s">
        <v>154</v>
      </c>
      <c r="N4" s="53"/>
      <c r="P4" s="53" t="s">
        <v>155</v>
      </c>
      <c r="Q4" s="53"/>
      <c r="R4" s="1"/>
      <c r="S4" s="53" t="s">
        <v>156</v>
      </c>
      <c r="T4" s="53"/>
      <c r="U4" s="1"/>
      <c r="V4" s="53" t="s">
        <v>157</v>
      </c>
      <c r="W4" s="53"/>
      <c r="X4" s="1"/>
      <c r="Y4" s="53" t="s">
        <v>158</v>
      </c>
      <c r="Z4" s="53"/>
      <c r="AA4" s="1"/>
      <c r="AB4" s="53" t="s">
        <v>159</v>
      </c>
      <c r="AC4" s="53"/>
      <c r="AE4" s="53" t="s">
        <v>160</v>
      </c>
      <c r="AF4" s="53"/>
      <c r="AG4" s="1"/>
      <c r="AH4" s="53" t="s">
        <v>161</v>
      </c>
      <c r="AI4" s="53"/>
      <c r="AJ4" s="1"/>
      <c r="AK4" s="53" t="s">
        <v>162</v>
      </c>
      <c r="AL4" s="53"/>
      <c r="AM4" s="1"/>
      <c r="AN4" s="53" t="s">
        <v>163</v>
      </c>
      <c r="AO4" s="53"/>
      <c r="AP4" s="1"/>
      <c r="AQ4" s="53" t="s">
        <v>164</v>
      </c>
      <c r="AR4" s="53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N6:AO6"/>
    <mergeCell ref="AQ6:AR6"/>
    <mergeCell ref="V6:W6"/>
    <mergeCell ref="Y6:Z6"/>
    <mergeCell ref="AB6:AC6"/>
    <mergeCell ref="AE6:AF6"/>
    <mergeCell ref="AH6:AI6"/>
    <mergeCell ref="AK6:AL6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P4:Q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2.674</v>
      </c>
      <c r="C3" s="3">
        <v>7.573</v>
      </c>
      <c r="D3" s="3" t="inlineStr">
        <is>
          <t>Depth</t>
        </is>
      </c>
      <c r="E3" s="3">
        <v>-0.458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G17" sqref="G17:H17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2026-07-10T03:46:43Z</dcterms:modified>
</cp:coreProperties>
</file>