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0E5A92E-9DBF-4A42-A886-0C898438F60D}" xr6:coauthVersionLast="47" xr6:coauthVersionMax="47" xr10:uidLastSave="{00000000-0000-0000-0000-000000000000}"/>
  <bookViews>
    <workbookView xWindow="7820" yWindow="3500" windowWidth="3420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<sst xmlns="http://schemas.openxmlformats.org/spreadsheetml/2006/main" count="157" uniqueCount="157">
  <si>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</si>
  <si>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</si>
  <si>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</si>
  <si>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</si>
  <si>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</si>
  <si>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</si>
  <si>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</si>
  <si>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</si>
  <si>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</si>
  <si>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</si>
  <si>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</si>
  <si>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</si>
  <si>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</si>
  <si>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</si>
  <si>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</si>
  <si>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</si>
  <si>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</si>
  <si>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</si>
  <si>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</si>
  <si>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</si>
  <si>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</si>
  <si>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</si>
  <si>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</si>
  <si>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</si>
  <si>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</si>
  <si>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</si>
  <si>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</si>
  <si>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</si>
  <si>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</si>
  <si>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</si>
  <si>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</si>
  <si>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</si>
  <si>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</si>
  <si>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</si>
  <si>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</si>
  <si>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</si>
  <si>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</si>
  <si>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</si>
  <si>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</si>
  <si>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</si>
  <si>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</si>
  <si>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</si>
  <si>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</si>
  <si>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</si>
  <si>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</si>
  <si>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</si>
  <si>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</si>
  <si>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</si>
  <si>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</si>
  <si>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</si>
  <si>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</si>
  <si>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</si>
  <si>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</si>
  <si>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</si>
  <si>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</si>
  <si>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</si>
  <si>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</si>
  <si>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</si>
  <si>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</si>
  <si>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</si>
  <si>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</si>
  <si>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</si>
  <si>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</si>
  <si>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</si>
  <si>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</si>
  <si>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</si>
  <si>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</si>
  <si>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</si>
  <si>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</si>
  <si>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</si>
  <si>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</si>
  <si>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</si>
  <si>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</si>
  <si>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</si>
  <si>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</si>
  <si>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</si>
  <si>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</si>
  <si>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</si>
  <si>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</si>
  <si>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</si>
  <si>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</si>
  <si>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</si>
  <si>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</si>
  <si>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</si>
  <si>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</si>
  <si>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</si>
  <si>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</si>
  <si>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</si>
  <si>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</si>
  <si>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</si>
  <si>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</si>
  <si>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</si>
  <si>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</si>
  <si>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</si>
  <si>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</si>
  <si>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</si>
  <si>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</si>
  <si>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</si>
  <si>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</si>
  <si>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</si>
  <si>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</si>
  <si>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</si>
  <si>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</si>
  <si>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</si>
  <si>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</si>
  <si>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</si>
  <si>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</si>
  <si>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</si>
  <si>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</si>
  <si>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</si>
  <si>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</si>
  <si>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</si>
  <si>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</si>
  <si>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</si>
  <si>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</si>
  <si>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</si>
  <si>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</si>
  <si>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</si>
  <si>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</si>
  <si>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</si>
  <si>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</si>
  <si>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</si>
  <si>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</si>
  <si>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</si>
  <si>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</si>
  <si>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</si>
  <si>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</si>
  <si>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</si>
  <si>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Silt</t>
  </si>
  <si>
    <t>Sand</t>
  </si>
  <si>
    <t>Clay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</si>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</sst>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145.30000000000001</c:v>
                </c:pt>
                <c:pt idx="1">
                  <c:v>170</c:v>
                </c:pt>
                <c:pt idx="2">
                  <c:v>320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64</c:v>
                </c:pt>
                <c:pt idx="1">
                  <c:v>84</c:v>
                </c:pt>
                <c:pt idx="2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115.69999999999999</c:v>
                </c:pt>
                <c:pt idx="1">
                  <c:v>145.30000000000001</c:v>
                </c:pt>
                <c:pt idx="2">
                  <c:v>320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40</c:v>
                </c:pt>
                <c:pt idx="1">
                  <c:v>64</c:v>
                </c:pt>
                <c:pt idx="2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0</c:v>
                </c:pt>
                <c:pt idx="1">
                  <c:v>320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  <c:pt idx="0">
                  <c:v>0</c:v>
                </c:pt>
                <c:pt idx="1">
                  <c:v>115.69999999999999</c:v>
                </c:pt>
                <c:pt idx="2">
                  <c:v>130.5</c:v>
                </c:pt>
                <c:pt idx="3">
                  <c:v>150</c:v>
                </c:pt>
                <c:pt idx="4">
                  <c:v>180</c:v>
                </c:pt>
                <c:pt idx="5">
                  <c:v>208</c:v>
                </c:pt>
                <c:pt idx="6">
                  <c:v>245</c:v>
                </c:pt>
                <c:pt idx="7">
                  <c:v>320</c:v>
                </c:pt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  <c:pt idx="2">
                  <c:v>52</c:v>
                </c:pt>
                <c:pt idx="3">
                  <c:v>61</c:v>
                </c:pt>
                <c:pt idx="4">
                  <c:v>70</c:v>
                </c:pt>
                <c:pt idx="5">
                  <c:v>76</c:v>
                </c:pt>
                <c:pt idx="6">
                  <c:v>79</c:v>
                </c:pt>
                <c:pt idx="7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0</c:v>
                </c:pt>
                <c:pt idx="1">
                  <c:v>115.69999999999999</c:v>
                </c:pt>
                <c:pt idx="2">
                  <c:v>145.30000000000001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  <c:pt idx="0">
                  <c:v>170</c:v>
                </c:pt>
                <c:pt idx="1">
                  <c:v>190</c:v>
                </c:pt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  <c:pt idx="0">
                  <c:v>84</c:v>
                </c:pt>
                <c:pt idx="1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  <c:pt idx="0">
                  <c:v>200</c:v>
                </c:pt>
                <c:pt idx="1">
                  <c:v>220</c:v>
                </c:pt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  <c:pt idx="0">
                  <c:v>84</c:v>
                </c:pt>
                <c:pt idx="1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  <c:pt idx="0">
                  <c:v>0</c:v>
                </c:pt>
                <c:pt idx="1">
                  <c:v>115.69999999999999</c:v>
                </c:pt>
                <c:pt idx="2">
                  <c:v>145.30000000000001</c:v>
                </c:pt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  <c:pt idx="0">
                  <c:v>40</c:v>
                </c:pt>
                <c:pt idx="1">
                  <c:v>40</c:v>
                </c:pt>
                <c:pt idx="2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  <c:pt idx="0">
                  <c:v>170</c:v>
                </c:pt>
                <c:pt idx="1">
                  <c:v>190</c:v>
                </c:pt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  <c:pt idx="0">
                  <c:v>84</c:v>
                </c:pt>
                <c:pt idx="1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  <c:pt idx="0">
                  <c:v>200</c:v>
                </c:pt>
                <c:pt idx="1">
                  <c:v>220</c:v>
                </c:pt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  <c:pt idx="0">
                  <c:v>84</c:v>
                </c:pt>
                <c:pt idx="1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0</c:v>
                </c:pt>
                <c:pt idx="1">
                  <c:v>115.7</c:v>
                </c:pt>
                <c:pt idx="2">
                  <c:v>170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40</c:v>
                </c:pt>
                <c:pt idx="1">
                  <c:v>40</c:v>
                </c:pt>
                <c:pt idx="2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320</c:v>
                </c:pt>
                <c:pt idx="1">
                  <c:v>320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0</c:v>
                </c:pt>
                <c:pt idx="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  <c:pt idx="0">
                  <c:v>0</c:v>
                </c:pt>
                <c:pt idx="1">
                  <c:v>115.7</c:v>
                </c:pt>
                <c:pt idx="2">
                  <c:v>170</c:v>
                </c:pt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  <c:pt idx="0">
                  <c:v>40</c:v>
                </c:pt>
                <c:pt idx="1">
                  <c:v>40</c:v>
                </c:pt>
                <c:pt idx="2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  <c:pt idx="0">
                  <c:v>320</c:v>
                </c:pt>
                <c:pt idx="1">
                  <c:v>320</c:v>
                </c:pt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  <c:pt idx="0">
                  <c:v>0</c:v>
                </c:pt>
                <c:pt idx="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K23" sqref="K23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100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5">
        <v>9</v>
      </c>
    </row>
    <row r="7" spans="1:7" x14ac:dyDescent="0.2">
      <c r="B7" s="43" t="s">
        <v>46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49</v>
      </c>
      <c r="D8" s="1">
        <v>62.4</v>
      </c>
      <c r="F8" s="1" t="s">
        <v>120</v>
      </c>
      <c r="G8" t="s">
        <v>121</v>
      </c>
    </row>
    <row r="9" spans="1:7" x14ac:dyDescent="0.2">
      <c r="C9" s="14" t="s">
        <v>48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47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74</v>
      </c>
      <c r="D11" s="1">
        <v>0</v>
      </c>
      <c r="F11" s="1" t="s">
        <v>17</v>
      </c>
      <c r="G11" t="s">
        <v>18</v>
      </c>
    </row>
    <row r="12" spans="1:7" x14ac:dyDescent="0.2">
      <c r="F12" s="1" t="s">
        <v>22</v>
      </c>
      <c r="G12" t="s">
        <v>23</v>
      </c>
    </row>
    <row r="13" spans="1:7" x14ac:dyDescent="0.2">
      <c r="F13" s="1" t="s">
        <v>37</v>
      </c>
      <c r="G13" t="s">
        <v>38</v>
      </c>
    </row>
    <row r="14" spans="1:7" x14ac:dyDescent="0.2">
      <c r="F14" s="1" t="s">
        <v>33</v>
      </c>
      <c r="G14" t="s">
        <v>34</v>
      </c>
    </row>
    <row r="15" spans="1:7" x14ac:dyDescent="0.2">
      <c r="F15" s="1" t="s">
        <v>122</v>
      </c>
      <c r="G15" t="s">
        <v>124</v>
      </c>
    </row>
    <row r="16" spans="1:7" x14ac:dyDescent="0.2">
      <c r="F16" s="1" t="s">
        <v>35</v>
      </c>
      <c r="G16" t="s">
        <v>36</v>
      </c>
    </row>
    <row r="17" spans="2:7" x14ac:dyDescent="0.2">
      <c r="B17" s="1"/>
      <c r="F17" s="1" t="s">
        <v>97</v>
      </c>
      <c r="G17" s="9" t="s">
        <v>126</v>
      </c>
    </row>
    <row r="18" spans="2:7" x14ac:dyDescent="0.2">
      <c r="F18" s="1" t="s">
        <v>123</v>
      </c>
      <c r="G18" s="9" t="s">
        <v>125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T29" sqref="T29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67</v>
      </c>
      <c r="D2"/>
      <c r="E2"/>
      <c r="F2"/>
      <c r="J2" s="6" t="s">
        <v>86</v>
      </c>
      <c r="O2" s="6"/>
    </row>
    <row r="3" spans="1:24" x14ac:dyDescent="0.2">
      <c r="C3" s="1" t="s">
        <v>66</v>
      </c>
      <c r="D3" t="s">
        <v>68</v>
      </c>
      <c r="E3"/>
      <c r="F3"/>
      <c r="J3" s="1" t="s">
        <v>89</v>
      </c>
      <c r="K3" t="s">
        <v>58</v>
      </c>
      <c r="O3" s="14"/>
    </row>
    <row r="4" spans="1:24" x14ac:dyDescent="0.2">
      <c r="C4" s="1" t="s">
        <v>69</v>
      </c>
      <c r="D4" t="s">
        <v>70</v>
      </c>
      <c r="E4"/>
      <c r="F4"/>
      <c r="J4" s="1" t="s">
        <v>21</v>
      </c>
      <c r="K4" t="s">
        <v>59</v>
      </c>
      <c r="O4" s="14"/>
    </row>
    <row r="5" spans="1:24" x14ac:dyDescent="0.2">
      <c r="J5" s="1" t="s">
        <v>90</v>
      </c>
      <c r="K5" s="9" t="s">
        <v>88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56</v>
      </c>
      <c r="D7" s="44"/>
      <c r="E7" s="44"/>
      <c r="F7" s="44"/>
      <c r="G7" s="44"/>
      <c r="H7" s="44"/>
      <c r="I7" s="44"/>
      <c r="J7" s="44"/>
      <c r="K7" s="1"/>
      <c r="L7" s="44" t="s">
        <v>57</v>
      </c>
      <c r="M7" s="44"/>
      <c r="N7" s="44"/>
      <c r="O7" s="44"/>
      <c r="P7" s="44"/>
      <c r="Q7" s="44"/>
      <c r="R7" s="44" t="s">
        <v>94</v>
      </c>
      <c r="S7" s="44"/>
      <c r="T7" s="44"/>
      <c r="U7" s="44"/>
      <c r="V7" s="44"/>
      <c r="W7" s="44" t="s">
        <v>101</v>
      </c>
      <c r="X7" s="44"/>
    </row>
    <row r="8" spans="1:24" x14ac:dyDescent="0.2">
      <c r="A8" s="20" t="s">
        <v>19</v>
      </c>
      <c r="B8" s="20" t="s">
        <v>77</v>
      </c>
      <c r="C8" s="26" t="s">
        <v>51</v>
      </c>
      <c r="D8" s="21" t="s">
        <v>65</v>
      </c>
      <c r="E8" s="21" t="s">
        <v>52</v>
      </c>
      <c r="F8" s="26" t="s">
        <v>50</v>
      </c>
      <c r="G8" s="21" t="s">
        <v>72</v>
      </c>
      <c r="H8" s="21" t="s">
        <v>71</v>
      </c>
      <c r="I8" s="21" t="s">
        <v>79</v>
      </c>
      <c r="J8" s="21" t="s">
        <v>155</v>
      </c>
      <c r="K8" s="21" t="s">
        <v>87</v>
      </c>
      <c r="L8" s="22" t="s">
        <v>53</v>
      </c>
      <c r="M8" s="22" t="s">
        <v>54</v>
      </c>
      <c r="N8" s="23" t="s">
        <v>55</v>
      </c>
      <c r="O8" s="22" t="s">
        <v>73</v>
      </c>
      <c r="P8" s="22" t="s">
        <v>81</v>
      </c>
      <c r="Q8" s="23" t="s">
        <v>156</v>
      </c>
      <c r="R8" s="25" t="s">
        <v>91</v>
      </c>
      <c r="S8" s="25" t="s">
        <v>92</v>
      </c>
      <c r="T8" s="25" t="s">
        <v>93</v>
      </c>
      <c r="U8" s="25" t="s">
        <v>98</v>
      </c>
      <c r="V8" s="25" t="s">
        <v>99</v>
      </c>
      <c r="W8" s="29" t="s">
        <v>102</v>
      </c>
      <c r="X8" s="30" t="s">
        <v>103</v>
      </c>
    </row>
    <row r="9" spans="1:24" x14ac:dyDescent="0.2">
      <c r="A9" s="3">
        <v>1</v>
      </c>
      <c r="B9" s="3" t="s">
        <v>128</v>
      </c>
      <c r="C9" s="3">
        <v>130</v>
      </c>
      <c r="D9" s="3" t="s">
        <v>66</v>
      </c>
      <c r="E9" s="3">
        <v>200</v>
      </c>
      <c r="F9" s="3">
        <v>28</v>
      </c>
      <c r="G9" s="3"/>
      <c r="H9" s="3"/>
      <c r="I9" s="3"/>
      <c r="J9" s="3"/>
      <c r="K9" s="3" t="s">
        <v>21</v>
      </c>
      <c r="L9" s="3"/>
      <c r="M9" s="3"/>
      <c r="N9" s="3"/>
      <c r="O9" s="3"/>
      <c r="P9" s="3"/>
      <c r="Q9" s="3"/>
      <c r="R9" s="3">
        <v>0.5</v>
      </c>
      <c r="S9" s="3">
        <v>0.5</v>
      </c>
      <c r="T9" s="3">
        <v>0</v>
      </c>
      <c r="U9" s="3">
        <v>1E-4</v>
      </c>
      <c r="V9" s="3">
        <v>-1</v>
      </c>
      <c r="W9" s="3">
        <v>1000000</v>
      </c>
      <c r="X9" s="3">
        <v>0.35</v>
      </c>
    </row>
    <row r="10" spans="1:24" x14ac:dyDescent="0.2">
      <c r="A10" s="3">
        <v>2</v>
      </c>
      <c r="B10" s="3" t="s">
        <v>129</v>
      </c>
      <c r="C10" s="3">
        <v>120</v>
      </c>
      <c r="D10" s="3" t="s">
        <v>69</v>
      </c>
      <c r="E10" s="3">
        <v>200</v>
      </c>
      <c r="F10" s="3"/>
      <c r="G10" s="3">
        <v>100</v>
      </c>
      <c r="H10" s="3">
        <v>50</v>
      </c>
      <c r="I10" s="3"/>
      <c r="J10" s="3"/>
      <c r="K10" s="3" t="s">
        <v>21</v>
      </c>
      <c r="L10" s="3"/>
      <c r="M10" s="3"/>
      <c r="N10" s="3"/>
      <c r="O10" s="3"/>
      <c r="P10" s="3"/>
      <c r="Q10" s="3"/>
      <c r="R10" s="3">
        <v>1</v>
      </c>
      <c r="S10" s="3">
        <v>1</v>
      </c>
      <c r="T10" s="3">
        <v>0</v>
      </c>
      <c r="U10" s="3">
        <v>1E-4</v>
      </c>
      <c r="V10" s="3">
        <v>-1</v>
      </c>
      <c r="W10" s="3">
        <v>1000000</v>
      </c>
      <c r="X10" s="3">
        <v>0.35</v>
      </c>
    </row>
    <row r="11" spans="1:24" x14ac:dyDescent="0.2">
      <c r="A11" s="3">
        <v>3</v>
      </c>
      <c r="B11" s="3" t="s">
        <v>130</v>
      </c>
      <c r="C11" s="3">
        <v>132</v>
      </c>
      <c r="D11" s="3" t="s">
        <v>66</v>
      </c>
      <c r="E11" s="3">
        <v>400</v>
      </c>
      <c r="F11" s="3">
        <v>27</v>
      </c>
      <c r="G11" s="3"/>
      <c r="H11" s="3"/>
      <c r="I11" s="3"/>
      <c r="J11" s="3"/>
      <c r="K11" s="3" t="s">
        <v>21</v>
      </c>
      <c r="L11" s="3"/>
      <c r="M11" s="3"/>
      <c r="N11" s="3"/>
      <c r="O11" s="3"/>
      <c r="P11" s="3"/>
      <c r="Q11" s="3"/>
      <c r="R11" s="3">
        <v>0.01</v>
      </c>
      <c r="S11" s="3">
        <v>0.01</v>
      </c>
      <c r="T11" s="3">
        <v>0</v>
      </c>
      <c r="U11" s="3">
        <v>1E-4</v>
      </c>
      <c r="V11" s="3">
        <v>-1</v>
      </c>
      <c r="W11" s="3">
        <v>500000</v>
      </c>
      <c r="X11" s="3">
        <v>0.35</v>
      </c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11" priority="3" stopIfTrue="1">
      <formula>$D9="cp"</formula>
    </cfRule>
  </conditionalFormatting>
  <conditionalFormatting sqref="G9:H50">
    <cfRule type="expression" dxfId="10" priority="2">
      <formula>$D9="mc"</formula>
    </cfRule>
  </conditionalFormatting>
  <conditionalFormatting sqref="I9:J50">
    <cfRule type="expression" dxfId="9" priority="4">
      <formula>$D9="cp"</formula>
    </cfRule>
  </conditionalFormatting>
  <conditionalFormatting sqref="N9:N50">
    <cfRule type="expression" dxfId="8" priority="6" stopIfTrue="1">
      <formula>$D9="cp"</formula>
    </cfRule>
  </conditionalFormatting>
  <conditionalFormatting sqref="O9:O50">
    <cfRule type="expression" dxfId="7" priority="13">
      <formula>$D9="mc"</formula>
    </cfRule>
  </conditionalFormatting>
  <conditionalFormatting sqref="P9:Q50">
    <cfRule type="expression" dxfId="6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F16" sqref="F16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45</v>
      </c>
      <c r="B2" s="3">
        <v>0</v>
      </c>
      <c r="D2" s="27" t="s">
        <v>95</v>
      </c>
    </row>
    <row r="4" spans="1:44" x14ac:dyDescent="0.2">
      <c r="A4" s="47" t="s">
        <v>2</v>
      </c>
      <c r="B4" s="47"/>
      <c r="D4" s="47" t="s">
        <v>5</v>
      </c>
      <c r="E4" s="47"/>
      <c r="G4" s="47" t="s">
        <v>6</v>
      </c>
      <c r="H4" s="47"/>
      <c r="J4" s="47" t="s">
        <v>7</v>
      </c>
      <c r="K4" s="47"/>
      <c r="M4" s="47" t="s">
        <v>8</v>
      </c>
      <c r="N4" s="47"/>
      <c r="P4" s="47" t="s">
        <v>9</v>
      </c>
      <c r="Q4" s="47"/>
      <c r="R4" s="1"/>
      <c r="S4" s="47" t="s">
        <v>10</v>
      </c>
      <c r="T4" s="47"/>
      <c r="U4" s="1"/>
      <c r="V4" s="47" t="s">
        <v>11</v>
      </c>
      <c r="W4" s="47"/>
      <c r="X4" s="1"/>
      <c r="Y4" s="47" t="s">
        <v>12</v>
      </c>
      <c r="Z4" s="47"/>
      <c r="AA4" s="1"/>
      <c r="AB4" s="47" t="s">
        <v>13</v>
      </c>
      <c r="AC4" s="47"/>
      <c r="AE4" s="47" t="s">
        <v>115</v>
      </c>
      <c r="AF4" s="47"/>
      <c r="AG4" s="1"/>
      <c r="AH4" s="47" t="s">
        <v>116</v>
      </c>
      <c r="AI4" s="47"/>
      <c r="AJ4" s="1"/>
      <c r="AK4" s="47" t="s">
        <v>117</v>
      </c>
      <c r="AL4" s="47"/>
      <c r="AM4" s="1"/>
      <c r="AN4" s="47" t="s">
        <v>118</v>
      </c>
      <c r="AO4" s="47"/>
      <c r="AP4" s="1"/>
      <c r="AQ4" s="47" t="s">
        <v>119</v>
      </c>
      <c r="AR4" s="47"/>
    </row>
    <row r="5" spans="1:44" x14ac:dyDescent="0.2">
      <c r="A5" s="41" t="s">
        <v>127</v>
      </c>
      <c r="B5" s="42">
        <v>1</v>
      </c>
      <c r="D5" s="41" t="s">
        <v>127</v>
      </c>
      <c r="E5" s="42">
        <v>2</v>
      </c>
      <c r="G5" s="41" t="s">
        <v>127</v>
      </c>
      <c r="H5" s="42">
        <v>3</v>
      </c>
      <c r="J5" s="41" t="s">
        <v>127</v>
      </c>
      <c r="K5" s="42">
        <v>4</v>
      </c>
      <c r="M5" s="41" t="s">
        <v>127</v>
      </c>
      <c r="N5" s="42">
        <v>5</v>
      </c>
      <c r="P5" s="41" t="s">
        <v>127</v>
      </c>
      <c r="Q5" s="42">
        <v>6</v>
      </c>
      <c r="R5" s="1"/>
      <c r="S5" s="41" t="s">
        <v>127</v>
      </c>
      <c r="T5" s="42">
        <v>7</v>
      </c>
      <c r="U5" s="1"/>
      <c r="V5" s="41" t="s">
        <v>127</v>
      </c>
      <c r="W5" s="42">
        <v>8</v>
      </c>
      <c r="X5" s="1"/>
      <c r="Y5" s="41" t="s">
        <v>127</v>
      </c>
      <c r="Z5" s="42">
        <v>9</v>
      </c>
      <c r="AA5" s="1"/>
      <c r="AB5" s="41" t="s">
        <v>127</v>
      </c>
      <c r="AC5" s="42">
        <v>10</v>
      </c>
      <c r="AE5" s="41" t="s">
        <v>127</v>
      </c>
      <c r="AF5" s="42">
        <v>11</v>
      </c>
      <c r="AG5" s="1"/>
      <c r="AH5" s="41" t="s">
        <v>127</v>
      </c>
      <c r="AI5" s="42">
        <v>12</v>
      </c>
      <c r="AJ5" s="1"/>
      <c r="AK5" s="41" t="s">
        <v>127</v>
      </c>
      <c r="AL5" s="42">
        <v>13</v>
      </c>
      <c r="AM5" s="1"/>
      <c r="AN5" s="41" t="s">
        <v>127</v>
      </c>
      <c r="AO5" s="42">
        <v>14</v>
      </c>
      <c r="AP5" s="1"/>
      <c r="AQ5" s="41" t="s">
        <v>127</v>
      </c>
      <c r="AR5" s="42">
        <v>15</v>
      </c>
    </row>
    <row r="6" spans="1:44" x14ac:dyDescent="0.2">
      <c r="A6" s="45" t="str">
        <f>_xlfn.XLOOKUP(B5,mat!$A:$A, mat!$B:$B,"") &amp; ""</f>
        <v>Silt</v>
      </c>
      <c r="B6" s="46"/>
      <c r="D6" s="45" t="str">
        <f>_xlfn.XLOOKUP(E5,mat!$A:$A, mat!$B:$B,"") &amp; ""</f>
        <v>Sand</v>
      </c>
      <c r="E6" s="46"/>
      <c r="G6" s="45" t="str">
        <f>_xlfn.XLOOKUP(H5,mat!$A:$A, mat!$B:$B,"") &amp; ""</f>
        <v>Clay</v>
      </c>
      <c r="H6" s="46"/>
      <c r="J6" s="45" t="str">
        <f>_xlfn.XLOOKUP(K5,mat!$A:$A, mat!$B:$B,"") &amp; ""</f>
        <v/>
      </c>
      <c r="K6" s="46"/>
      <c r="M6" s="45" t="str">
        <f>_xlfn.XLOOKUP(N5,mat!$A:$A, mat!$B:$B,"") &amp; ""</f>
        <v/>
      </c>
      <c r="N6" s="46"/>
      <c r="P6" s="45" t="str">
        <f>_xlfn.XLOOKUP(Q5,mat!$A:$A, mat!$B:$B,"") &amp; ""</f>
        <v/>
      </c>
      <c r="Q6" s="46"/>
      <c r="R6" s="1"/>
      <c r="S6" s="45" t="str">
        <f>_xlfn.XLOOKUP(T5,mat!$A:$A, mat!$B:$B,"") &amp; ""</f>
        <v/>
      </c>
      <c r="T6" s="46"/>
      <c r="U6" s="1"/>
      <c r="V6" s="45" t="str">
        <f>_xlfn.XLOOKUP(W5,mat!$A:$A, mat!$B:$B,"") &amp; ""</f>
        <v/>
      </c>
      <c r="W6" s="46"/>
      <c r="X6" s="1"/>
      <c r="Y6" s="45" t="str">
        <f>_xlfn.XLOOKUP(Z5,mat!$A:$A, mat!$B:$B,"") &amp; ""</f>
        <v/>
      </c>
      <c r="Z6" s="46"/>
      <c r="AA6" s="1"/>
      <c r="AB6" s="45" t="str">
        <f>_xlfn.XLOOKUP(AC5,mat!$A:$A, mat!$B:$B,"") &amp; ""</f>
        <v/>
      </c>
      <c r="AC6" s="46"/>
      <c r="AE6" s="45" t="str">
        <f>_xlfn.XLOOKUP(AF5,mat!$A:$A, mat!$B:$B,"") &amp; ""</f>
        <v/>
      </c>
      <c r="AF6" s="46"/>
      <c r="AG6" s="1"/>
      <c r="AH6" s="45" t="str">
        <f>_xlfn.XLOOKUP(AI5,mat!$A:$A, mat!$B:$B,"") &amp; ""</f>
        <v/>
      </c>
      <c r="AI6" s="46"/>
      <c r="AJ6" s="1"/>
      <c r="AK6" s="45" t="str">
        <f>_xlfn.XLOOKUP(AL5,mat!$A:$A, mat!$B:$B,"") &amp; ""</f>
        <v/>
      </c>
      <c r="AL6" s="46"/>
      <c r="AM6" s="1"/>
      <c r="AN6" s="45" t="str">
        <f>_xlfn.XLOOKUP(AO5,mat!$A:$A, mat!$B:$B,"") &amp; ""</f>
        <v/>
      </c>
      <c r="AO6" s="46"/>
      <c r="AP6" s="1"/>
      <c r="AQ6" s="45" t="str">
        <f>_xlfn.XLOOKUP(AR5,mat!$A:$A, mat!$B:$B,"") &amp; ""</f>
        <v/>
      </c>
      <c r="AR6" s="4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145.30000000000001</v>
      </c>
      <c r="B8" s="3">
        <v>64</v>
      </c>
      <c r="D8" s="3">
        <v>115.69999999999999</v>
      </c>
      <c r="E8" s="3">
        <v>40</v>
      </c>
      <c r="G8" s="3">
        <v>0</v>
      </c>
      <c r="H8" s="3">
        <v>40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170</v>
      </c>
      <c r="B9" s="3">
        <v>84</v>
      </c>
      <c r="D9" s="3">
        <v>145.30000000000001</v>
      </c>
      <c r="E9" s="3">
        <v>64</v>
      </c>
      <c r="G9" s="3">
        <v>320</v>
      </c>
      <c r="H9" s="3">
        <v>40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320</v>
      </c>
      <c r="B10" s="3">
        <v>84</v>
      </c>
      <c r="D10" s="3">
        <v>320</v>
      </c>
      <c r="E10" s="3">
        <v>64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G21" sqref="G2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85</v>
      </c>
      <c r="B2" s="48"/>
      <c r="D2" s="49" t="s">
        <v>83</v>
      </c>
      <c r="E2" s="49"/>
      <c r="G2" s="24" t="s">
        <v>84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0</v>
      </c>
      <c r="B4" s="3">
        <v>40</v>
      </c>
      <c r="D4" s="3"/>
      <c r="E4" s="3"/>
    </row>
    <row r="5" spans="1:7" x14ac:dyDescent="0.2">
      <c r="A5" s="3">
        <v>115.69999999999999</v>
      </c>
      <c r="B5" s="3">
        <v>40</v>
      </c>
      <c r="D5" s="3"/>
      <c r="E5" s="3"/>
    </row>
    <row r="6" spans="1:7" x14ac:dyDescent="0.2">
      <c r="A6" s="3">
        <v>130.5</v>
      </c>
      <c r="B6" s="3">
        <v>52</v>
      </c>
      <c r="D6" s="3"/>
      <c r="E6" s="3"/>
    </row>
    <row r="7" spans="1:7" x14ac:dyDescent="0.2">
      <c r="A7" s="3">
        <v>150</v>
      </c>
      <c r="B7" s="3">
        <v>61</v>
      </c>
      <c r="D7" s="3"/>
      <c r="E7" s="3"/>
    </row>
    <row r="8" spans="1:7" x14ac:dyDescent="0.2">
      <c r="A8" s="3">
        <v>180</v>
      </c>
      <c r="B8" s="3">
        <v>70</v>
      </c>
      <c r="D8" s="3"/>
      <c r="E8" s="3"/>
    </row>
    <row r="9" spans="1:7" x14ac:dyDescent="0.2">
      <c r="A9" s="3">
        <v>208</v>
      </c>
      <c r="B9" s="3">
        <v>76</v>
      </c>
      <c r="D9" s="3"/>
      <c r="E9" s="3"/>
    </row>
    <row r="10" spans="1:7" x14ac:dyDescent="0.2">
      <c r="A10" s="3">
        <v>245</v>
      </c>
      <c r="B10" s="3">
        <v>79</v>
      </c>
      <c r="D10" s="3"/>
      <c r="E10" s="3"/>
    </row>
    <row r="11" spans="1:7" x14ac:dyDescent="0.2">
      <c r="A11" s="3">
        <v>320</v>
      </c>
      <c r="B11" s="3">
        <v>80</v>
      </c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I20" sqref="I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24</v>
      </c>
      <c r="B2" s="13" t="s">
        <v>60</v>
      </c>
      <c r="C2" s="13" t="s">
        <v>61</v>
      </c>
      <c r="D2" s="13" t="s">
        <v>28</v>
      </c>
      <c r="E2" s="13" t="s">
        <v>25</v>
      </c>
      <c r="F2" s="13" t="s">
        <v>26</v>
      </c>
      <c r="G2" s="13" t="s">
        <v>27</v>
      </c>
      <c r="H2" s="13" t="s">
        <v>63</v>
      </c>
      <c r="J2" s="5" t="s">
        <v>29</v>
      </c>
      <c r="K2" s="10" t="s">
        <v>16</v>
      </c>
    </row>
    <row r="3" spans="1:14" x14ac:dyDescent="0.2">
      <c r="A3" s="3">
        <v>1</v>
      </c>
      <c r="B3" s="3">
        <v>145</v>
      </c>
      <c r="C3" s="3">
        <v>100</v>
      </c>
      <c r="D3" s="3" t="s">
        <v>25</v>
      </c>
      <c r="E3" s="3">
        <v>0</v>
      </c>
      <c r="F3" s="3"/>
      <c r="G3" s="3"/>
      <c r="H3" s="3"/>
      <c r="J3" s="1" t="s">
        <v>25</v>
      </c>
      <c r="K3" s="9" t="s">
        <v>30</v>
      </c>
    </row>
    <row r="4" spans="1:14" x14ac:dyDescent="0.2">
      <c r="A4" s="3">
        <v>2</v>
      </c>
      <c r="B4" s="3">
        <v>145</v>
      </c>
      <c r="C4" s="3">
        <v>120</v>
      </c>
      <c r="D4" s="3" t="s">
        <v>25</v>
      </c>
      <c r="E4" s="3">
        <v>40</v>
      </c>
      <c r="F4" s="3"/>
      <c r="G4" s="3"/>
      <c r="H4" s="3"/>
      <c r="J4" s="1" t="s">
        <v>31</v>
      </c>
      <c r="K4" s="9" t="s">
        <v>32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14" priority="3">
      <formula>OR($D3="Intercept", $D3="Radius")</formula>
    </cfRule>
  </conditionalFormatting>
  <conditionalFormatting sqref="F3:G42">
    <cfRule type="expression" dxfId="13" priority="2">
      <formula>OR($D3="Depth",$D3="Radius")</formula>
    </cfRule>
  </conditionalFormatting>
  <conditionalFormatting sqref="H3:H42">
    <cfRule type="expression" dxfId="12" priority="1">
      <formula>OR($D3="Depth",$D3="Intercept")</formula>
    </cfRule>
  </conditionalFormatting>
  <dataValidations count="1">
    <dataValidation type="list" allowBlank="1" showInputMessage="1" showErrorMessage="1" sqref="D3:D52" xr:uid="{7F956FD6-0589-5E4E-B392-27403BB6B3EC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43</v>
      </c>
      <c r="E2" s="6" t="s">
        <v>29</v>
      </c>
      <c r="F2" s="6" t="s">
        <v>16</v>
      </c>
    </row>
    <row r="3" spans="1:6" x14ac:dyDescent="0.2">
      <c r="A3" s="3"/>
      <c r="B3" s="3"/>
      <c r="C3" s="3"/>
      <c r="E3" t="s">
        <v>39</v>
      </c>
      <c r="F3" t="s">
        <v>41</v>
      </c>
    </row>
    <row r="4" spans="1:6" x14ac:dyDescent="0.2">
      <c r="A4" s="3"/>
      <c r="B4" s="3"/>
      <c r="C4" s="3"/>
      <c r="E4" t="s">
        <v>40</v>
      </c>
      <c r="F4" t="s">
        <v>42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:L6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131</v>
      </c>
      <c r="C2" s="50"/>
      <c r="D2" s="50"/>
      <c r="F2" s="50" t="s">
        <v>132</v>
      </c>
      <c r="G2" s="50"/>
      <c r="H2" s="50"/>
      <c r="J2" s="50" t="s">
        <v>133</v>
      </c>
      <c r="K2" s="50"/>
      <c r="L2" s="50"/>
      <c r="N2" s="50" t="s">
        <v>134</v>
      </c>
      <c r="O2" s="50"/>
      <c r="P2" s="50"/>
      <c r="R2" s="50" t="s">
        <v>135</v>
      </c>
      <c r="S2" s="50"/>
      <c r="T2" s="50"/>
      <c r="V2" s="50" t="s">
        <v>136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44</v>
      </c>
      <c r="F3" s="2" t="s">
        <v>0</v>
      </c>
      <c r="G3" s="2" t="s">
        <v>1</v>
      </c>
      <c r="H3" s="2" t="s">
        <v>44</v>
      </c>
      <c r="J3" s="2" t="s">
        <v>0</v>
      </c>
      <c r="K3" s="2" t="s">
        <v>1</v>
      </c>
      <c r="L3" s="2" t="s">
        <v>44</v>
      </c>
      <c r="N3" s="2" t="s">
        <v>0</v>
      </c>
      <c r="O3" s="2" t="s">
        <v>1</v>
      </c>
      <c r="P3" s="2" t="s">
        <v>44</v>
      </c>
      <c r="R3" s="2" t="s">
        <v>0</v>
      </c>
      <c r="S3" s="2" t="s">
        <v>1</v>
      </c>
      <c r="T3" s="2" t="s">
        <v>44</v>
      </c>
      <c r="V3" s="2" t="s">
        <v>0</v>
      </c>
      <c r="W3" s="2" t="s">
        <v>1</v>
      </c>
      <c r="X3" s="2" t="s">
        <v>44</v>
      </c>
    </row>
    <row r="4" spans="2:24" x14ac:dyDescent="0.2">
      <c r="B4" s="3">
        <v>0</v>
      </c>
      <c r="C4" s="3">
        <v>40</v>
      </c>
      <c r="D4" s="3">
        <v>1000</v>
      </c>
      <c r="F4" s="3">
        <v>170</v>
      </c>
      <c r="G4" s="3">
        <v>84</v>
      </c>
      <c r="H4" s="3">
        <v>400</v>
      </c>
      <c r="J4" s="3">
        <v>200</v>
      </c>
      <c r="K4" s="3">
        <v>84</v>
      </c>
      <c r="L4" s="3">
        <v>300</v>
      </c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115.69999999999999</v>
      </c>
      <c r="C5" s="3">
        <v>40</v>
      </c>
      <c r="D5" s="3">
        <v>1000</v>
      </c>
      <c r="F5" s="3">
        <v>190</v>
      </c>
      <c r="G5" s="3">
        <v>84</v>
      </c>
      <c r="H5" s="3">
        <v>400</v>
      </c>
      <c r="J5" s="3">
        <v>220</v>
      </c>
      <c r="K5" s="3">
        <v>84</v>
      </c>
      <c r="L5" s="3">
        <v>500</v>
      </c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145.30000000000001</v>
      </c>
      <c r="C6" s="3">
        <v>64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G5" sqref="G4:G22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149</v>
      </c>
      <c r="C2" s="51"/>
      <c r="D2" s="51"/>
      <c r="F2" s="51" t="s">
        <v>150</v>
      </c>
      <c r="G2" s="51"/>
      <c r="H2" s="51"/>
      <c r="J2" s="51" t="s">
        <v>151</v>
      </c>
      <c r="K2" s="51"/>
      <c r="L2" s="51"/>
      <c r="N2" s="51" t="s">
        <v>152</v>
      </c>
      <c r="O2" s="51"/>
      <c r="P2" s="51"/>
      <c r="R2" s="51" t="s">
        <v>153</v>
      </c>
      <c r="S2" s="51"/>
      <c r="T2" s="51"/>
      <c r="V2" s="51" t="s">
        <v>154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44</v>
      </c>
      <c r="F3" s="2" t="s">
        <v>0</v>
      </c>
      <c r="G3" s="2" t="s">
        <v>1</v>
      </c>
      <c r="H3" s="2" t="s">
        <v>44</v>
      </c>
      <c r="J3" s="2" t="s">
        <v>0</v>
      </c>
      <c r="K3" s="2" t="s">
        <v>1</v>
      </c>
      <c r="L3" s="2" t="s">
        <v>44</v>
      </c>
      <c r="N3" s="2" t="s">
        <v>0</v>
      </c>
      <c r="O3" s="2" t="s">
        <v>1</v>
      </c>
      <c r="P3" s="2" t="s">
        <v>44</v>
      </c>
      <c r="R3" s="2" t="s">
        <v>0</v>
      </c>
      <c r="S3" s="2" t="s">
        <v>1</v>
      </c>
      <c r="T3" s="2" t="s">
        <v>44</v>
      </c>
      <c r="V3" s="2" t="s">
        <v>0</v>
      </c>
      <c r="W3" s="2" t="s">
        <v>1</v>
      </c>
      <c r="X3" s="2" t="s">
        <v>44</v>
      </c>
    </row>
    <row r="4" spans="2:24" x14ac:dyDescent="0.2">
      <c r="B4" s="3">
        <v>0</v>
      </c>
      <c r="C4" s="3">
        <v>40</v>
      </c>
      <c r="D4" s="3">
        <v>500</v>
      </c>
      <c r="F4" s="3">
        <v>170</v>
      </c>
      <c r="G4" s="3">
        <v>84</v>
      </c>
      <c r="H4" s="3">
        <v>200</v>
      </c>
      <c r="J4" s="3">
        <v>200</v>
      </c>
      <c r="K4" s="3">
        <v>84</v>
      </c>
      <c r="L4" s="3">
        <v>150</v>
      </c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115.69999999999999</v>
      </c>
      <c r="C5" s="3">
        <v>40</v>
      </c>
      <c r="D5" s="3">
        <v>500</v>
      </c>
      <c r="F5" s="3">
        <v>190</v>
      </c>
      <c r="G5" s="3">
        <v>84</v>
      </c>
      <c r="H5" s="3">
        <v>200</v>
      </c>
      <c r="J5" s="3">
        <v>220</v>
      </c>
      <c r="K5" s="3">
        <v>84</v>
      </c>
      <c r="L5" s="3">
        <v>250</v>
      </c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145.30000000000001</v>
      </c>
      <c r="C6" s="3">
        <v>64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24</v>
      </c>
      <c r="B2" s="12" t="s">
        <v>104</v>
      </c>
      <c r="C2" s="12" t="s">
        <v>105</v>
      </c>
      <c r="D2" s="12" t="s">
        <v>106</v>
      </c>
      <c r="E2" s="12" t="s">
        <v>107</v>
      </c>
      <c r="F2" s="32" t="s">
        <v>109</v>
      </c>
      <c r="G2" s="33" t="s">
        <v>114</v>
      </c>
      <c r="H2" s="32" t="s">
        <v>112</v>
      </c>
      <c r="I2" s="32" t="s">
        <v>113</v>
      </c>
      <c r="J2" s="33" t="s">
        <v>102</v>
      </c>
      <c r="K2" s="33" t="s">
        <v>108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111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110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S32" sqref="S32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142</v>
      </c>
      <c r="C2" s="52"/>
      <c r="E2" s="48" t="s">
        <v>137</v>
      </c>
      <c r="F2" s="48"/>
      <c r="H2" s="48" t="s">
        <v>138</v>
      </c>
      <c r="I2" s="48"/>
      <c r="K2" s="48" t="s">
        <v>139</v>
      </c>
      <c r="L2" s="48"/>
      <c r="N2" s="48" t="s">
        <v>140</v>
      </c>
      <c r="O2" s="48"/>
      <c r="Q2" s="48" t="s">
        <v>141</v>
      </c>
      <c r="R2" s="48"/>
    </row>
    <row r="3" spans="2:18" x14ac:dyDescent="0.2">
      <c r="B3" s="52"/>
      <c r="C3" s="52"/>
      <c r="E3" s="37" t="s">
        <v>96</v>
      </c>
      <c r="F3" s="38">
        <v>80</v>
      </c>
      <c r="H3" s="37" t="s">
        <v>96</v>
      </c>
      <c r="I3" s="38"/>
      <c r="K3" s="37" t="s">
        <v>96</v>
      </c>
      <c r="L3" s="38"/>
      <c r="N3" s="37" t="s">
        <v>96</v>
      </c>
      <c r="O3" s="38"/>
      <c r="Q3" s="37" t="s">
        <v>96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0</v>
      </c>
      <c r="C5" s="3">
        <v>40</v>
      </c>
      <c r="E5" s="3">
        <v>320</v>
      </c>
      <c r="F5" s="3">
        <v>0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115.7</v>
      </c>
      <c r="C6" s="3">
        <v>40</v>
      </c>
      <c r="E6" s="3">
        <v>320</v>
      </c>
      <c r="F6" s="3">
        <v>80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170</v>
      </c>
      <c r="C7" s="3">
        <v>84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S5" sqref="S5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144</v>
      </c>
      <c r="C2" s="53"/>
      <c r="E2" s="49" t="s">
        <v>143</v>
      </c>
      <c r="F2" s="49"/>
      <c r="H2" s="49" t="s">
        <v>145</v>
      </c>
      <c r="I2" s="49"/>
      <c r="K2" s="49" t="s">
        <v>146</v>
      </c>
      <c r="L2" s="49"/>
      <c r="N2" s="49" t="s">
        <v>147</v>
      </c>
      <c r="O2" s="49"/>
      <c r="Q2" s="49" t="s">
        <v>148</v>
      </c>
      <c r="R2" s="49"/>
    </row>
    <row r="3" spans="2:18" x14ac:dyDescent="0.2">
      <c r="B3" s="53"/>
      <c r="C3" s="53"/>
      <c r="E3" s="39" t="s">
        <v>96</v>
      </c>
      <c r="F3" s="40">
        <v>80</v>
      </c>
      <c r="H3" s="39" t="s">
        <v>96</v>
      </c>
      <c r="I3" s="40"/>
      <c r="K3" s="39" t="s">
        <v>96</v>
      </c>
      <c r="L3" s="40"/>
      <c r="N3" s="39" t="s">
        <v>96</v>
      </c>
      <c r="O3" s="40"/>
      <c r="Q3" s="39" t="s">
        <v>96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0</v>
      </c>
      <c r="C5" s="3">
        <v>40</v>
      </c>
      <c r="E5" s="3">
        <v>320</v>
      </c>
      <c r="F5" s="3">
        <v>0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115.7</v>
      </c>
      <c r="C6" s="3">
        <v>40</v>
      </c>
      <c r="E6" s="3">
        <v>320</v>
      </c>
      <c r="F6" s="3">
        <v>80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170</v>
      </c>
      <c r="C7" s="3">
        <v>84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2026-03-10T17:20:09Z</dcterms:modified>
</cp:coreProperties>
</file>