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4200" windowHeight="19900" tabRatio="600" firstSheet="0" activeTab="15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plot" sheetId="2" state="visible" r:id="rId2"/>
    <sheet xmlns:r="http://schemas.openxmlformats.org/officeDocument/2006/relationships" name="mat" sheetId="3" state="visible" r:id="rId3"/>
    <sheet xmlns:r="http://schemas.openxmlformats.org/officeDocument/2006/relationships" name="profile" sheetId="4" state="visible" r:id="rId4"/>
    <sheet xmlns:r="http://schemas.openxmlformats.org/officeDocument/2006/relationships" name="polygon" sheetId="5" state="visible" r:id="rId5"/>
    <sheet xmlns:r="http://schemas.openxmlformats.org/officeDocument/2006/relationships" name="piezo" sheetId="6" state="visible" r:id="rId6"/>
    <sheet xmlns:r="http://schemas.openxmlformats.org/officeDocument/2006/relationships" name="circles" sheetId="7" state="visible" r:id="rId7"/>
    <sheet xmlns:r="http://schemas.openxmlformats.org/officeDocument/2006/relationships" name="non-circ" sheetId="8" state="visible" r:id="rId8"/>
    <sheet xmlns:r="http://schemas.openxmlformats.org/officeDocument/2006/relationships" name="dloads" sheetId="9" state="visible" r:id="rId9"/>
    <sheet xmlns:r="http://schemas.openxmlformats.org/officeDocument/2006/relationships" name="dloads (2)" sheetId="10" state="visible" r:id="rId10"/>
    <sheet xmlns:r="http://schemas.openxmlformats.org/officeDocument/2006/relationships" name="reinforce" sheetId="11" state="visible" r:id="rId11"/>
    <sheet xmlns:r="http://schemas.openxmlformats.org/officeDocument/2006/relationships" name="piles" sheetId="12" state="visible" r:id="rId12"/>
    <sheet xmlns:r="http://schemas.openxmlformats.org/officeDocument/2006/relationships" name="lloads" sheetId="13" state="visible" r:id="rId13"/>
    <sheet xmlns:r="http://schemas.openxmlformats.org/officeDocument/2006/relationships" name="seep bc" sheetId="14" state="visible" r:id="rId14"/>
    <sheet xmlns:r="http://schemas.openxmlformats.org/officeDocument/2006/relationships" name="seep bc (2)" sheetId="15" state="visible" r:id="rId15"/>
    <sheet xmlns:r="http://schemas.openxmlformats.org/officeDocument/2006/relationships" name="tseep" sheetId="16" state="visible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4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 (Body)"/>
      <color theme="0"/>
      <sz val="12"/>
    </font>
    <font>
      <name val="Symbol"/>
      <charset val="2"/>
      <b val="1"/>
      <color theme="0"/>
      <sz val="12"/>
    </font>
    <font>
      <name val="Aptos Narrow (Body)"/>
      <color theme="0"/>
      <sz val="12"/>
      <vertAlign val="subscript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9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3" fillId="0" borderId="0" pivotButton="0" quotePrefix="0" xfId="0"/>
    <xf numFmtId="0" fontId="5" fillId="8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5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5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6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6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20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1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2" fillId="14" borderId="6" applyAlignment="1" pivotButton="0" quotePrefix="0" xfId="0">
      <alignment horizontal="center"/>
    </xf>
    <xf numFmtId="0" fontId="2" fillId="14" borderId="3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15" borderId="6" applyAlignment="1" pivotButton="0" quotePrefix="0" xfId="0">
      <alignment horizontal="center"/>
    </xf>
    <xf numFmtId="0" fontId="2" fillId="15" borderId="3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2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5" pivotButton="0" quotePrefix="0" xfId="0"/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plotArea>
      <layout/>
      <scatterChart>
        <scatterStyle val="lineMarker"/>
        <varyColors val="0"/>
        <ser>
          <idx val="0"/>
          <order val="0"/>
          <tx>
            <strRef>
              <f>profile!$A$4</f>
              <strCache>
                <ptCount val="1"/>
                <pt idx="0">
                  <v>Profile Line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profile!$A$8:$A$27</f>
              <numCache>
                <formatCode>General</formatCode>
                <ptCount val="20"/>
              </numCache>
            </numRef>
          </xVal>
          <yVal>
            <numRef>
              <f>profile!$B$8:$B$27</f>
              <numCache>
                <formatCode>General</formatCode>
                <ptCount val="20"/>
              </numCache>
            </numRef>
          </yVal>
          <smooth val="0"/>
        </ser>
        <ser>
          <idx val="1"/>
          <order val="1"/>
          <tx>
            <strRef>
              <f>profile!$D$4</f>
              <strCache>
                <ptCount val="1"/>
                <pt idx="0">
                  <v>Profile Line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profile!$D$8:$D$27</f>
              <numCache>
                <formatCode>General</formatCode>
                <ptCount val="20"/>
              </numCache>
            </numRef>
          </xVal>
          <yVal>
            <numRef>
              <f>profile!$E$8:$E$27</f>
              <numCache>
                <formatCode>General</formatCode>
                <ptCount val="20"/>
              </numCache>
            </numRef>
          </yVal>
          <smooth val="0"/>
        </ser>
        <ser>
          <idx val="2"/>
          <order val="2"/>
          <tx>
            <strRef>
              <f>profile!$G$4</f>
              <strCache>
                <ptCount val="1"/>
                <pt idx="0">
                  <v>Profile Line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xVal>
            <numRef>
              <f>profile!$G$8:$G$27</f>
              <numCache>
                <formatCode>General</formatCode>
                <ptCount val="20"/>
              </numCache>
            </numRef>
          </xVal>
          <yVal>
            <numRef>
              <f>profile!$H$8:$H$27</f>
              <numCache>
                <formatCode>General</formatCode>
                <ptCount val="20"/>
              </numCache>
            </numRef>
          </yVal>
          <smooth val="0"/>
        </ser>
        <ser>
          <idx val="3"/>
          <order val="3"/>
          <tx>
            <strRef>
              <f>profile!$J$4</f>
              <strCache>
                <ptCount val="1"/>
                <pt idx="0">
                  <v>Profile Line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xVal>
            <numRef>
              <f>profile!$J$8:$J$27</f>
              <numCache>
                <formatCode>General</formatCode>
                <ptCount val="20"/>
              </numCache>
            </numRef>
          </xVal>
          <yVal>
            <numRef>
              <f>profile!$K$8:$K$27</f>
              <numCache>
                <formatCode>General</formatCode>
                <ptCount val="20"/>
              </numCache>
            </numRef>
          </yVal>
          <smooth val="0"/>
        </ser>
        <ser>
          <idx val="4"/>
          <order val="4"/>
          <tx>
            <strRef>
              <f>profile!$M$4</f>
              <strCache>
                <ptCount val="1"/>
                <pt idx="0">
                  <v>Profile Line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xVal>
            <numRef>
              <f>profile!$M$8:$M$27</f>
              <numCache>
                <formatCode>General</formatCode>
                <ptCount val="20"/>
              </numCache>
            </numRef>
          </xVal>
          <yVal>
            <numRef>
              <f>profile!$N$8:$N$27</f>
              <numCache>
                <formatCode>General</formatCode>
                <ptCount val="20"/>
              </numCache>
            </numRef>
          </yVal>
          <smooth val="0"/>
        </ser>
        <ser>
          <idx val="5"/>
          <order val="5"/>
          <tx>
            <strRef>
              <f>profile!$P$4</f>
              <strCache>
                <ptCount val="1"/>
                <pt idx="0">
                  <v>Profile Line #6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xVal>
            <numRef>
              <f>profile!$P$8:$P$27</f>
              <numCache>
                <formatCode>General</formatCode>
                <ptCount val="20"/>
              </numCache>
            </numRef>
          </xVal>
          <yVal>
            <numRef>
              <f>profile!$Q$8:$Q$27</f>
              <numCache>
                <formatCode>General</formatCode>
                <ptCount val="20"/>
              </numCache>
            </numRef>
          </yVal>
          <smooth val="0"/>
        </ser>
        <ser>
          <idx val="6"/>
          <order val="6"/>
          <tx>
            <strRef>
              <f>profile!$S$4</f>
              <strCache>
                <ptCount val="1"/>
                <pt idx="0">
                  <v>Profile Line #7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</a:schemeClr>
                </a:solidFill>
                <a:prstDash val="solid"/>
              </a:ln>
            </spPr>
          </marker>
          <xVal>
            <numRef>
              <f>profile!$S$8:$S$27</f>
              <numCache>
                <formatCode>General</formatCode>
                <ptCount val="20"/>
              </numCache>
            </numRef>
          </xVal>
          <yVal>
            <numRef>
              <f>profile!$T$8:$T$27</f>
              <numCache>
                <formatCode>General</formatCode>
                <ptCount val="20"/>
              </numCache>
            </numRef>
          </yVal>
          <smooth val="0"/>
        </ser>
        <ser>
          <idx val="7"/>
          <order val="7"/>
          <tx>
            <strRef>
              <f>profile!$V$4</f>
              <strCache>
                <ptCount val="1"/>
                <pt idx="0">
                  <v>Profile Line #8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</a:schemeClr>
                </a:solidFill>
                <a:prstDash val="solid"/>
              </a:ln>
            </spPr>
          </marker>
          <xVal>
            <numRef>
              <f>profile!$V$8:$V$27</f>
              <numCache>
                <formatCode>General</formatCode>
                <ptCount val="20"/>
              </numCache>
            </numRef>
          </xVal>
          <yVal>
            <numRef>
              <f>profile!$W$8:$W$27</f>
              <numCache>
                <formatCode>General</formatCode>
                <ptCount val="20"/>
              </numCache>
            </numRef>
          </yVal>
          <smooth val="0"/>
        </ser>
        <ser>
          <idx val="8"/>
          <order val="8"/>
          <tx>
            <strRef>
              <f>profile!$Y$4</f>
              <strCache>
                <ptCount val="1"/>
                <pt idx="0">
                  <v>Profile Line #9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xVal>
            <numRef>
              <f>profile!$Y$8:$Y$27</f>
              <numCache>
                <formatCode>General</formatCode>
                <ptCount val="20"/>
              </numCache>
            </numRef>
          </xVal>
          <yVal>
            <numRef>
              <f>profile!$Z$8:$Z$27</f>
              <numCache>
                <formatCode>General</formatCode>
                <ptCount val="20"/>
              </numCache>
            </numRef>
          </yVal>
          <smooth val="0"/>
        </ser>
        <ser>
          <idx val="9"/>
          <order val="9"/>
          <tx>
            <strRef>
              <f>profile!$AB$4</f>
              <strCache>
                <ptCount val="1"/>
                <pt idx="0">
                  <v>Profile Line #10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</a:schemeClr>
                </a:solidFill>
                <a:prstDash val="solid"/>
              </a:ln>
            </spPr>
          </marker>
          <xVal>
            <numRef>
              <f>profile!$AB$8:$AB$27</f>
              <numCache>
                <formatCode>General</formatCode>
                <ptCount val="20"/>
              </numCache>
            </numRef>
          </xVal>
          <yVal>
            <numRef>
              <f>profile!$AC$8:$AC$27</f>
              <numCache>
                <formatCode>General</formatCode>
                <ptCount val="20"/>
              </numCache>
            </numRef>
          </yVal>
          <smooth val="0"/>
        </ser>
        <ser>
          <idx val="10"/>
          <order val="10"/>
          <tx>
            <strRef>
              <f>profile!$AE$4</f>
              <strCache>
                <ptCount val="1"/>
                <pt idx="0">
                  <v>Profile Line #11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70000"/>
                </a:schemeClr>
              </a:solidFill>
              <a:ln xmlns:a="http://schemas.openxmlformats.org/drawingml/2006/main" w="9525">
                <a:solidFill>
                  <a:schemeClr val="accent4">
                    <a:lumMod val="70000"/>
                  </a:schemeClr>
                </a:solidFill>
                <a:prstDash val="solid"/>
              </a:ln>
            </spPr>
          </marker>
          <xVal>
            <numRef>
              <f>profile!$AE$8:$AE$27</f>
              <numCache>
                <formatCode>General</formatCode>
                <ptCount val="20"/>
              </numCache>
            </numRef>
          </xVal>
          <yVal>
            <numRef>
              <f>profile!$AF$8:$AF$27</f>
              <numCache>
                <formatCode>General</formatCode>
                <ptCount val="20"/>
              </numCache>
            </numRef>
          </yVal>
          <smooth val="0"/>
        </ser>
        <ser>
          <idx val="11"/>
          <order val="11"/>
          <tx>
            <strRef>
              <f>profile!$AH$4</f>
              <strCache>
                <ptCount val="1"/>
                <pt idx="0">
                  <v>Profile Line #12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70000"/>
                </a:schemeClr>
              </a:solidFill>
              <a:ln xmlns:a="http://schemas.openxmlformats.org/drawingml/2006/main" w="9525">
                <a:solidFill>
                  <a:schemeClr val="accent5">
                    <a:lumMod val="70000"/>
                  </a:schemeClr>
                </a:solidFill>
                <a:prstDash val="solid"/>
              </a:ln>
            </spPr>
          </marker>
          <xVal>
            <numRef>
              <f>profile!$AH$8:$AH$27</f>
              <numCache>
                <formatCode>General</formatCode>
                <ptCount val="20"/>
              </numCache>
            </numRef>
          </xVal>
          <yVal>
            <numRef>
              <f>profile!$AI$8:$AI$27</f>
              <numCache>
                <formatCode>General</formatCode>
                <ptCount val="20"/>
              </numCache>
            </numRef>
          </yVal>
          <smooth val="0"/>
        </ser>
        <ser>
          <idx val="12"/>
          <order val="12"/>
          <tx>
            <strRef>
              <f>profile!$AK$4</f>
              <strCache>
                <ptCount val="1"/>
                <pt idx="0">
                  <v>Profile Line #13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70000"/>
                </a:schemeClr>
              </a:solidFill>
              <a:ln xmlns:a="http://schemas.openxmlformats.org/drawingml/2006/main" w="9525">
                <a:solidFill>
                  <a:schemeClr val="accent6">
                    <a:lumMod val="70000"/>
                  </a:schemeClr>
                </a:solidFill>
                <a:prstDash val="solid"/>
              </a:ln>
            </spPr>
          </marker>
          <xVal>
            <numRef>
              <f>profile!$AK$8:$AK$27</f>
              <numCache>
                <formatCode>General</formatCode>
                <ptCount val="20"/>
              </numCache>
            </numRef>
          </xVal>
          <yVal>
            <numRef>
              <f>profile!$AL$8:$AL$27</f>
              <numCache>
                <formatCode>General</formatCode>
                <ptCount val="20"/>
              </numCache>
            </numRef>
          </yVal>
          <smooth val="0"/>
        </ser>
        <ser>
          <idx val="13"/>
          <order val="13"/>
          <tx>
            <strRef>
              <f>profile!$AN$4</f>
              <strCache>
                <ptCount val="1"/>
                <pt idx="0">
                  <v>Profile Line #14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profile!$AN$8:$AN$27</f>
              <numCache>
                <formatCode>General</formatCode>
                <ptCount val="20"/>
              </numCache>
            </numRef>
          </xVal>
          <yVal>
            <numRef>
              <f>profile!$AO$8:$AO$27</f>
              <numCache>
                <formatCode>General</formatCode>
                <ptCount val="20"/>
              </numCache>
            </numRef>
          </yVal>
          <smooth val="0"/>
        </ser>
        <ser>
          <idx val="14"/>
          <order val="14"/>
          <tx>
            <strRef>
              <f>profile!$AQ$4</f>
              <strCache>
                <ptCount val="1"/>
                <pt idx="0">
                  <v>Profile Line #15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profile!$AQ$8:$AQ$27</f>
              <numCache>
                <formatCode>General</formatCode>
                <ptCount val="20"/>
              </numCache>
            </numRef>
          </xVal>
          <yVal>
            <numRef>
              <f>profile!$AR$8:$AR$27</f>
              <numCache>
                <formatCode>General</formatCode>
                <ptCount val="20"/>
              </numCache>
            </numRef>
          </yVal>
          <smooth val="0"/>
        </ser>
        <ser>
          <idx val="15"/>
          <order val="15"/>
          <tx>
            <v>Piezometric Line</v>
          </tx>
          <spPr>
            <a:ln xmlns:a="http://schemas.openxmlformats.org/drawingml/2006/main"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rgbClr val="00B0F0"/>
                </a:solidFill>
                <a:prstDash val="solid"/>
              </a:ln>
            </spPr>
          </marker>
          <xVal>
            <numRef>
              <f>piezo!$A$5:$A$19</f>
              <numCache>
                <formatCode>General</formatCode>
                <ptCount val="15"/>
              </numCache>
            </numRef>
          </xVal>
          <yVal>
            <numRef>
              <f>piezo!$B$5:$B$19</f>
              <numCache>
                <formatCode>General</formatCode>
                <ptCount val="15"/>
              </numCache>
            </numRef>
          </yVal>
          <smooth val="0"/>
        </ser>
        <ser>
          <idx val="16"/>
          <order val="16"/>
          <tx>
            <v>Piezometric Line #2</v>
          </tx>
          <spPr>
            <a:ln xmlns:a="http://schemas.openxmlformats.org/drawingml/2006/main"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50000"/>
                </a:schemeClr>
              </a:solidFill>
              <a:ln xmlns:a="http://schemas.openxmlformats.org/drawingml/2006/main" w="9525">
                <a:solidFill>
                  <a:schemeClr val="accent3">
                    <a:lumMod val="50000"/>
                  </a:schemeClr>
                </a:solidFill>
                <a:prstDash val="solid"/>
              </a:ln>
            </spPr>
          </marker>
          <xVal>
            <numRef>
              <f>piezo!$D$5:$D$19</f>
              <numCache>
                <formatCode>General</formatCode>
                <ptCount val="15"/>
              </numCache>
            </numRef>
          </xVal>
          <yVal>
            <numRef>
              <f>piezo!$E$5:$E$19</f>
              <numCache>
                <formatCode>General</formatCode>
                <ptCount val="15"/>
              </numCache>
            </numRef>
          </yVal>
          <smooth val="0"/>
        </ser>
        <ser>
          <idx val="17"/>
          <order val="17"/>
          <tx>
            <v>Non-Circular Failure Surface</v>
          </tx>
          <spPr>
            <a:ln xmlns:a="http://schemas.openxmlformats.org/drawingml/2006/main"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5"/>
                </a:solidFill>
                <a:prstDash val="dash"/>
              </a:ln>
            </spPr>
          </marker>
          <xVal>
            <numRef>
              <f>'non-circ'!$A$3:$A$17</f>
              <numCache>
                <formatCode>General</formatCode>
                <ptCount val="15"/>
              </numCache>
            </numRef>
          </xVal>
          <yVal>
            <numRef>
              <f>'non-circ'!$B$3:$B$17</f>
              <numCache>
                <formatCode>General</formatCode>
                <ptCount val="15"/>
              </numCache>
            </numRef>
          </yVal>
          <smooth val="0"/>
        </ser>
        <ser>
          <idx val="18"/>
          <order val="18"/>
          <tx>
            <strRef>
              <f>dloads!$B$2</f>
              <strCache>
                <ptCount val="1"/>
                <pt idx="0">
                  <v>Distributed Load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dloads!$B$4:$B$13</f>
              <numCache>
                <formatCode>General</formatCode>
                <ptCount val="10"/>
              </numCache>
            </numRef>
          </xVal>
          <yVal>
            <numRef>
              <f>dloads!$C$4:$C$13</f>
              <numCache>
                <formatCode>General</formatCode>
                <ptCount val="10"/>
              </numCache>
            </numRef>
          </yVal>
          <smooth val="0"/>
        </ser>
        <ser>
          <idx val="19"/>
          <order val="19"/>
          <tx>
            <strRef>
              <f>dloads!$F$2</f>
              <strCache>
                <ptCount val="1"/>
                <pt idx="0">
                  <v>Distributed Load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dloads!$F$4:$F$13</f>
              <numCache>
                <formatCode>General</formatCode>
                <ptCount val="10"/>
              </numCache>
            </numRef>
          </xVal>
          <yVal>
            <numRef>
              <f>dloads!$G$4:$G$13</f>
              <numCache>
                <formatCode>General</formatCode>
                <ptCount val="10"/>
              </numCache>
            </numRef>
          </yVal>
          <smooth val="0"/>
        </ser>
        <ser>
          <idx val="20"/>
          <order val="20"/>
          <tx>
            <strRef>
              <f>dloads!$J$2</f>
              <strCache>
                <ptCount val="1"/>
                <pt idx="0">
                  <v>Distributed Load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dloads!$J$4:$J$13</f>
              <numCache>
                <formatCode>General</formatCode>
                <ptCount val="10"/>
              </numCache>
            </numRef>
          </xVal>
          <yVal>
            <numRef>
              <f>dloads!$K$4:$K$13</f>
              <numCache>
                <formatCode>General</formatCode>
                <ptCount val="10"/>
              </numCache>
            </numRef>
          </yVal>
          <smooth val="0"/>
        </ser>
        <ser>
          <idx val="21"/>
          <order val="21"/>
          <tx>
            <strRef>
              <f>dloads!$N$2</f>
              <strCache>
                <ptCount val="1"/>
                <pt idx="0">
                  <v>Distributed Load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dloads!$N$4:$N$13</f>
              <numCache>
                <formatCode>General</formatCode>
                <ptCount val="10"/>
              </numCache>
            </numRef>
          </xVal>
          <yVal>
            <numRef>
              <f>dloads!$O$4:$O$13</f>
              <numCache>
                <formatCode>General</formatCode>
                <ptCount val="10"/>
              </numCache>
            </numRef>
          </yVal>
          <smooth val="0"/>
        </ser>
        <ser>
          <idx val="22"/>
          <order val="22"/>
          <tx>
            <strRef>
              <f>dloads!$R$2</f>
              <strCache>
                <ptCount val="1"/>
                <pt idx="0">
                  <v>Distributed Load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dloads!$R$4:$R$22</f>
              <numCache>
                <formatCode>General</formatCode>
                <ptCount val="19"/>
              </numCache>
            </numRef>
          </xVal>
          <yVal>
            <numRef>
              <f>dloads!$S$4:$S$22</f>
              <numCache>
                <formatCode>General</formatCode>
                <ptCount val="19"/>
              </numCache>
            </numRef>
          </yVal>
          <smooth val="0"/>
        </ser>
        <ser>
          <idx val="23"/>
          <order val="23"/>
          <tx>
            <strRef>
              <f>dloads!$V$2</f>
              <strCache>
                <ptCount val="1"/>
                <pt idx="0">
                  <v>Distributed Load #6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dloads!$V$4:$V$22</f>
              <numCache>
                <formatCode>General</formatCode>
                <ptCount val="19"/>
              </numCache>
            </numRef>
          </xVal>
          <yVal>
            <numRef>
              <f>dloads!$W$4:$W$22</f>
              <numCache>
                <formatCode>General</formatCode>
                <ptCount val="19"/>
              </numCache>
            </numRef>
          </yVal>
          <smooth val="0"/>
        </ser>
        <ser>
          <idx val="24"/>
          <order val="24"/>
          <tx>
            <strRef>
              <f>'dloads (2)'!$B$2:$D$2</f>
              <strCache>
                <ptCount val="1"/>
                <pt idx="0">
                  <v>Distributed Load #1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</a:schemeClr>
                </a:solidFill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8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9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8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xVal>
            <numRef>
              <f>'dloads (2)'!$B$4:$B$22</f>
              <numCache>
                <formatCode>General</formatCode>
                <ptCount val="19"/>
              </numCache>
            </numRef>
          </xVal>
          <yVal>
            <numRef>
              <f>'dloads (2)'!$C$4:$C$22</f>
              <numCache>
                <formatCode>General</formatCode>
                <ptCount val="19"/>
              </numCache>
            </numRef>
          </yVal>
          <smooth val="0"/>
        </ser>
        <ser>
          <idx val="25"/>
          <order val="25"/>
          <tx>
            <strRef>
              <f>'dloads (2)'!$F$2:$H$2</f>
              <strCache>
                <ptCount val="1"/>
                <pt idx="0">
                  <v>Distributed Load #2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</a:schemeClr>
                </a:solidFill>
                <a:prstDash val="solid"/>
              </a:ln>
            </spPr>
          </marker>
          <xVal>
            <numRef>
              <f>'dloads (2)'!$F$4:$F$22</f>
              <numCache>
                <formatCode>General</formatCode>
                <ptCount val="19"/>
              </numCache>
            </numRef>
          </xVal>
          <yVal>
            <numRef>
              <f>'dloads (2)'!$G$4:$G$22</f>
              <numCache>
                <formatCode>General</formatCode>
                <ptCount val="19"/>
              </numCache>
            </numRef>
          </yVal>
          <smooth val="0"/>
        </ser>
        <ser>
          <idx val="26"/>
          <order val="26"/>
          <tx>
            <strRef>
              <f>'dloads (2)'!$J$2:$L$2</f>
              <strCache>
                <ptCount val="1"/>
                <pt idx="0">
                  <v>Distributed Load #3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'dloads (2)'!$J$4:$J$22</f>
              <numCache>
                <formatCode>General</formatCode>
                <ptCount val="19"/>
              </numCache>
            </numRef>
          </xVal>
          <yVal>
            <numRef>
              <f>'dloads (2)'!$K$4:$K$22</f>
              <numCache>
                <formatCode>General</formatCode>
                <ptCount val="19"/>
              </numCache>
            </numRef>
          </yVal>
          <smooth val="0"/>
        </ser>
        <ser>
          <idx val="27"/>
          <order val="27"/>
          <tx>
            <strRef>
              <f>'dloads (2)'!$N$2:$P$2</f>
              <strCache>
                <ptCount val="1"/>
                <pt idx="0">
                  <v>Distributed Load #4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'dloads (2)'!$N$4:$N$22</f>
              <numCache>
                <formatCode>General</formatCode>
                <ptCount val="19"/>
              </numCache>
            </numRef>
          </xVal>
          <yVal>
            <numRef>
              <f>'dloads (2)'!$O$4:$O$22</f>
              <numCache>
                <formatCode>General</formatCode>
                <ptCount val="19"/>
              </numCache>
            </numRef>
          </yVal>
          <smooth val="0"/>
        </ser>
        <ser>
          <idx val="28"/>
          <order val="28"/>
          <tx>
            <strRef>
              <f>'dloads (2)'!$R$2:$T$2</f>
              <strCache>
                <ptCount val="1"/>
                <pt idx="0">
                  <v>Distributed Load #5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xVal>
            <numRef>
              <f>'dloads (2)'!$R$4:$R$22</f>
              <numCache>
                <formatCode>General</formatCode>
                <ptCount val="19"/>
              </numCache>
            </numRef>
          </xVal>
          <yVal>
            <numRef>
              <f>'dloads (2)'!$S$4:$S$22</f>
              <numCache>
                <formatCode>General</formatCode>
                <ptCount val="19"/>
              </numCache>
            </numRef>
          </yVal>
          <smooth val="0"/>
        </ser>
        <ser>
          <idx val="29"/>
          <order val="29"/>
          <tx>
            <strRef>
              <f>'dloads (2)'!$V$2:$X$2</f>
              <strCache>
                <ptCount val="1"/>
                <pt idx="0">
                  <v>Distributed Load #6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xVal>
            <numRef>
              <f>'dloads (2)'!$V$4:$V$22</f>
              <numCache>
                <formatCode>General</formatCode>
                <ptCount val="19"/>
              </numCache>
            </numRef>
          </xVal>
          <yVal>
            <numRef>
              <f>'dloads (2)'!$W$4:$W$22</f>
              <numCache>
                <formatCode>General</formatCode>
                <ptCount val="19"/>
              </numCache>
            </numRef>
          </yVal>
          <smooth val="0"/>
        </ser>
        <ser>
          <idx val="30"/>
          <order val="30"/>
          <tx>
            <v>Reinforce Line #1</v>
          </tx>
          <spPr>
            <a:ln xmlns:a="http://schemas.openxmlformats.org/drawingml/2006/main"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(reinforce!$C$3,reinforce!$E$3)</f>
              <numCache>
                <formatCode>General</formatCode>
                <ptCount val="2"/>
              </numCache>
            </numRef>
          </xVal>
          <yVal>
            <numRef>
              <f>(reinforce!$D$3,reinforce!$F$3)</f>
              <numCache>
                <formatCode>General</formatCode>
                <ptCount val="2"/>
              </numCache>
            </numRef>
          </yVal>
          <smooth val="0"/>
        </ser>
        <ser>
          <idx val="31"/>
          <order val="31"/>
          <tx>
            <v>Reinforce Line #2</v>
          </tx>
          <spPr>
            <a:ln xmlns:a="http://schemas.openxmlformats.org/drawingml/2006/main"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(reinforce!$C$4,reinforce!$E$4)</f>
              <numCache>
                <formatCode>General</formatCode>
                <ptCount val="2"/>
              </numCache>
            </numRef>
          </xVal>
          <yVal>
            <numRef>
              <f>(reinforce!$D$4,reinforce!$D$4,reinforce!$D$4,reinforce!$F$4)</f>
              <numCache>
                <formatCode>General</formatCode>
                <ptCount val="4"/>
              </numCache>
            </numRef>
          </yVal>
          <smooth val="0"/>
        </ser>
        <ser>
          <idx val="32"/>
          <order val="32"/>
          <tx>
            <v>Reinforce Line #3</v>
          </tx>
          <spPr>
            <a:ln xmlns:a="http://schemas.openxmlformats.org/drawingml/2006/main"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(reinforce!$C$5,reinforce!$E$5)</f>
              <numCache>
                <formatCode>General</formatCode>
                <ptCount val="2"/>
              </numCache>
            </numRef>
          </xVal>
          <yVal>
            <numRef>
              <f>(reinforce!$D$5,reinforce!$F$5)</f>
              <numCache>
                <formatCode>General</formatCode>
                <ptCount val="2"/>
              </numCache>
            </numRef>
          </yVal>
          <smooth val="0"/>
        </ser>
        <ser>
          <idx val="33"/>
          <order val="33"/>
          <tx>
            <v>Reinforce Line #4</v>
          </tx>
          <spPr>
            <a:ln xmlns:a="http://schemas.openxmlformats.org/drawingml/2006/main"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(reinforce!$C$6,reinforce!$E$6)</f>
              <numCache>
                <formatCode>General</formatCode>
                <ptCount val="2"/>
              </numCache>
            </numRef>
          </xVal>
          <yVal>
            <numRef>
              <f>(reinforce!$D$6,reinforce!$F$6)</f>
              <numCache>
                <formatCode>General</formatCode>
                <ptCount val="2"/>
              </numCache>
            </numRef>
          </yVal>
          <smooth val="0"/>
        </ser>
        <ser>
          <idx val="34"/>
          <order val="34"/>
          <tx>
            <v>Reinforce Line #5</v>
          </tx>
          <spPr>
            <a:ln xmlns:a="http://schemas.openxmlformats.org/drawingml/2006/main"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(reinforce!$C$7,reinforce!$E$7)</f>
              <numCache>
                <formatCode>General</formatCode>
                <ptCount val="2"/>
              </numCache>
            </numRef>
          </xVal>
          <yVal>
            <numRef>
              <f>(reinforce!$D$7,reinforce!$F$7)</f>
              <numCache>
                <formatCode>General</formatCode>
                <ptCount val="2"/>
              </numCache>
            </numRef>
          </yVal>
          <smooth val="0"/>
        </ser>
        <ser>
          <idx val="35"/>
          <order val="35"/>
          <tx>
            <v>Reinforce Line #6</v>
          </tx>
          <spPr>
            <a:ln xmlns:a="http://schemas.openxmlformats.org/drawingml/2006/main"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(reinforce!$C$8,reinforce!$E$8)</f>
              <numCache>
                <formatCode>General</formatCode>
                <ptCount val="2"/>
              </numCache>
            </numRef>
          </xVal>
          <yVal>
            <numRef>
              <f>(reinforce!$D$8,reinforce!$F$8)</f>
              <numCache>
                <formatCode>General</formatCode>
                <ptCount val="2"/>
              </numCache>
            </numRef>
          </yVal>
          <smooth val="0"/>
        </ser>
        <ser>
          <idx val="36"/>
          <order val="36"/>
          <tx>
            <v>Reinforce Line #7</v>
          </tx>
          <spPr>
            <a:ln xmlns:a="http://schemas.openxmlformats.org/drawingml/2006/main"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(reinforce!$C$9,reinforce!$E$9)</f>
              <numCache>
                <formatCode>General</formatCode>
                <ptCount val="2"/>
              </numCache>
            </numRef>
          </xVal>
          <yVal>
            <numRef>
              <f>(reinforce!$D$9,reinforce!$F$9)</f>
              <numCache>
                <formatCode>General</formatCode>
                <ptCount val="2"/>
              </numCache>
            </numRef>
          </yVal>
          <smooth val="0"/>
        </ser>
        <ser>
          <idx val="37"/>
          <order val="37"/>
          <tx>
            <v>Reinforce Line #8</v>
          </tx>
          <spPr>
            <a:ln xmlns:a="http://schemas.openxmlformats.org/drawingml/2006/main"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(reinforce!$C$10,reinforce!$E$10)</f>
              <numCache>
                <formatCode>General</formatCode>
                <ptCount val="2"/>
              </numCache>
            </numRef>
          </xVal>
          <yVal>
            <numRef>
              <f>(reinforce!$D$10,reinforce!$F$10)</f>
              <numCache>
                <formatCode>General</formatCode>
                <ptCount val="2"/>
              </numCache>
            </numRef>
          </yVal>
          <smooth val="0"/>
        </ser>
        <ser>
          <idx val="38"/>
          <order val="38"/>
          <tx>
            <v>Reinforce Line #9</v>
          </tx>
          <spPr>
            <a:ln xmlns:a="http://schemas.openxmlformats.org/drawingml/2006/main"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(reinforce!$C$11,reinforce!$E$11)</f>
              <numCache>
                <formatCode>General</formatCode>
                <ptCount val="2"/>
              </numCache>
            </numRef>
          </xVal>
          <yVal>
            <numRef>
              <f>(reinforce!$D$11,reinforce!$F$11)</f>
              <numCache>
                <formatCode>General</formatCode>
                <ptCount val="2"/>
              </numCache>
            </numRef>
          </yVal>
          <smooth val="0"/>
        </ser>
        <ser>
          <idx val="39"/>
          <order val="39"/>
          <tx>
            <v>Reinforce Line #10</v>
          </tx>
          <spPr>
            <a:ln xmlns:a="http://schemas.openxmlformats.org/drawingml/2006/main"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(reinforce!$C$12,reinforce!$E$12)</f>
              <numCache>
                <formatCode>General</formatCode>
                <ptCount val="2"/>
              </numCache>
            </numRef>
          </xVal>
          <yVal>
            <numRef>
              <f>(reinforce!$D$12,reinforce!$F$12)</f>
              <numCache>
                <formatCode>General</formatCode>
                <ptCount val="2"/>
              </numCache>
            </numRef>
          </yVal>
          <smooth val="0"/>
        </ser>
        <ser>
          <idx val="40"/>
          <order val="40"/>
          <tx>
            <v>Reinforce Line #11</v>
          </tx>
          <spPr>
            <a:ln xmlns:a="http://schemas.openxmlformats.org/drawingml/2006/main"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50000"/>
                </a:schemeClr>
              </a:solidFill>
              <a:ln xmlns:a="http://schemas.openxmlformats.org/drawingml/2006/main" w="76200">
                <a:solidFill>
                  <a:schemeClr val="accent1">
                    <a:lumMod val="50000"/>
                  </a:schemeClr>
                </a:solidFill>
                <a:prstDash val="solid"/>
              </a:ln>
            </spPr>
          </marker>
          <xVal>
            <numRef>
              <f>(reinforce!$C$13,reinforce!$E$13)</f>
              <numCache>
                <formatCode>General</formatCode>
                <ptCount val="2"/>
              </numCache>
            </numRef>
          </xVal>
          <yVal>
            <numRef>
              <f>(reinforce!$D$13,reinforce!$F$13)</f>
              <numCache>
                <formatCode>General</formatCode>
                <ptCount val="2"/>
              </numCache>
            </numRef>
          </yVal>
          <smooth val="0"/>
        </ser>
        <ser>
          <idx val="41"/>
          <order val="41"/>
          <tx>
            <v>Reinforce Line #12</v>
          </tx>
          <spPr>
            <a:ln xmlns:a="http://schemas.openxmlformats.org/drawingml/2006/main"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50000"/>
                </a:schemeClr>
              </a:solidFill>
              <a:ln xmlns:a="http://schemas.openxmlformats.org/drawingml/2006/main" w="9525">
                <a:solidFill>
                  <a:schemeClr val="accent2">
                    <a:lumMod val="50000"/>
                  </a:schemeClr>
                </a:solidFill>
                <a:prstDash val="solid"/>
              </a:ln>
            </spPr>
          </marker>
          <xVal>
            <numRef>
              <f>(reinforce!$C$14,reinforce!$E$14)</f>
              <numCache>
                <formatCode>General</formatCode>
                <ptCount val="2"/>
              </numCache>
            </numRef>
          </xVal>
          <yVal>
            <numRef>
              <f>(reinforce!$D$14,reinforce!$F$14)</f>
              <numCache>
                <formatCode>General</formatCode>
                <ptCount val="2"/>
              </numCache>
            </numRef>
          </yVal>
          <smooth val="0"/>
        </ser>
        <ser>
          <idx val="42"/>
          <order val="42"/>
          <tx>
            <v>Reinforce Line #13</v>
          </tx>
          <spPr>
            <a:ln xmlns:a="http://schemas.openxmlformats.org/drawingml/2006/main"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(reinforce!$C$15,reinforce!$E$15)</f>
              <numCache>
                <formatCode>General</formatCode>
                <ptCount val="2"/>
              </numCache>
            </numRef>
          </xVal>
          <yVal>
            <numRef>
              <f>(reinforce!$D$15,reinforce!$F$15)</f>
              <numCache>
                <formatCode>General</formatCode>
                <ptCount val="2"/>
              </numCache>
            </numRef>
          </yVal>
          <smooth val="0"/>
        </ser>
        <ser>
          <idx val="43"/>
          <order val="43"/>
          <tx>
            <v>Reinforce Line #14</v>
          </tx>
          <spPr>
            <a:ln xmlns:a="http://schemas.openxmlformats.org/drawingml/2006/main"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(reinforce!$C$16,reinforce!$E$16)</f>
              <numCache>
                <formatCode>General</formatCode>
                <ptCount val="2"/>
              </numCache>
            </numRef>
          </xVal>
          <yVal>
            <numRef>
              <f>(reinforce!$D$16,reinforce!$F$16)</f>
              <numCache>
                <formatCode>General</formatCode>
                <ptCount val="2"/>
              </numCache>
            </numRef>
          </yVal>
          <smooth val="0"/>
        </ser>
        <ser>
          <idx val="44"/>
          <order val="44"/>
          <tx>
            <v>Reinforce Line #15</v>
          </tx>
          <spPr>
            <a:ln xmlns:a="http://schemas.openxmlformats.org/drawingml/2006/main"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(reinforce!$C$17,reinforce!$E$17)</f>
              <numCache>
                <formatCode>General</formatCode>
                <ptCount val="2"/>
              </numCache>
            </numRef>
          </xVal>
          <yVal>
            <numRef>
              <f>(reinforce!$D$17,reinforce!$F$17)</f>
              <numCache>
                <formatCode>General</formatCode>
                <ptCount val="2"/>
              </numCache>
            </numRef>
          </yVal>
          <smooth val="0"/>
        </ser>
        <ser>
          <idx val="45"/>
          <order val="45"/>
          <tx>
            <v>Reinforce Line #16</v>
          </tx>
          <spPr>
            <a:ln xmlns:a="http://schemas.openxmlformats.org/drawingml/2006/main"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(reinforce!$C$18,reinforce!$E$18)</f>
              <numCache>
                <formatCode>General</formatCode>
                <ptCount val="2"/>
              </numCache>
            </numRef>
          </xVal>
          <yVal>
            <numRef>
              <f>(reinforce!$D$18,reinforce!$F$18)</f>
              <numCache>
                <formatCode>General</formatCode>
                <ptCount val="2"/>
              </numCache>
            </numRef>
          </yVal>
          <smooth val="0"/>
        </ser>
        <ser>
          <idx val="46"/>
          <order val="46"/>
          <tx>
            <v>Reinforce Line #17</v>
          </tx>
          <spPr>
            <a:ln xmlns:a="http://schemas.openxmlformats.org/drawingml/2006/main"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(reinforce!$C$19,reinforce!$E$19)</f>
              <numCache>
                <formatCode>General</formatCode>
                <ptCount val="2"/>
              </numCache>
            </numRef>
          </xVal>
          <yVal>
            <numRef>
              <f>(reinforce!$D$19,reinforce!$F$19)</f>
              <numCache>
                <formatCode>General</formatCode>
                <ptCount val="2"/>
              </numCache>
            </numRef>
          </yVal>
          <smooth val="0"/>
        </ser>
        <ser>
          <idx val="47"/>
          <order val="47"/>
          <tx>
            <v>Reinforce Line #18</v>
          </tx>
          <spPr>
            <a:ln xmlns:a="http://schemas.openxmlformats.org/drawingml/2006/main"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70000"/>
                </a:schemeClr>
              </a:solidFill>
              <a:ln xmlns:a="http://schemas.openxmlformats.org/drawingml/2006/main" w="9525">
                <a:solidFill>
                  <a:schemeClr val="accent1">
                    <a:lumMod val="70000"/>
                  </a:schemeClr>
                </a:solidFill>
                <a:prstDash val="solid"/>
              </a:ln>
            </spPr>
          </marker>
          <xVal>
            <numRef>
              <f>(reinforce!$C$20,reinforce!$E$20)</f>
              <numCache>
                <formatCode>General</formatCode>
                <ptCount val="2"/>
              </numCache>
            </numRef>
          </xVal>
          <yVal>
            <numRef>
              <f>(reinforce!$D$20,reinforce!$F$20)</f>
              <numCache>
                <formatCode>General</formatCode>
                <ptCount val="2"/>
              </numCache>
            </numRef>
          </yVal>
          <smooth val="0"/>
        </ser>
        <ser>
          <idx val="48"/>
          <order val="48"/>
          <tx>
            <v>Reinforce Line #19</v>
          </tx>
          <spPr>
            <a:ln xmlns:a="http://schemas.openxmlformats.org/drawingml/2006/main"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70000"/>
                </a:schemeClr>
              </a:solidFill>
              <a:ln xmlns:a="http://schemas.openxmlformats.org/drawingml/2006/main" w="9525">
                <a:solidFill>
                  <a:schemeClr val="accent2">
                    <a:lumMod val="70000"/>
                  </a:schemeClr>
                </a:solidFill>
                <a:prstDash val="solid"/>
              </a:ln>
            </spPr>
          </marker>
          <xVal>
            <numRef>
              <f>(reinforce!$C$21,reinforce!$E$21)</f>
              <numCache>
                <formatCode>General</formatCode>
                <ptCount val="2"/>
              </numCache>
            </numRef>
          </xVal>
          <yVal>
            <numRef>
              <f>(reinforce!$D$21,reinforce!$F$21)</f>
              <numCache>
                <formatCode>General</formatCode>
                <ptCount val="2"/>
              </numCache>
            </numRef>
          </yVal>
          <smooth val="0"/>
        </ser>
        <ser>
          <idx val="49"/>
          <order val="49"/>
          <tx>
            <v>Reinforce Line #20</v>
          </tx>
          <spPr>
            <a:ln xmlns:a="http://schemas.openxmlformats.org/drawingml/2006/main"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70000"/>
                </a:schemeClr>
              </a:solidFill>
              <a:ln xmlns:a="http://schemas.openxmlformats.org/drawingml/2006/main" w="9525">
                <a:solidFill>
                  <a:schemeClr val="accent3">
                    <a:lumMod val="70000"/>
                  </a:schemeClr>
                </a:solidFill>
                <a:prstDash val="solid"/>
              </a:ln>
            </spPr>
          </marker>
          <xVal>
            <numRef>
              <f>(reinforce!$C$22,reinforce!$E$22)</f>
              <numCache>
                <formatCode>General</formatCode>
                <ptCount val="2"/>
              </numCache>
            </numRef>
          </xVal>
          <yVal>
            <numRef>
              <f>(reinforce!$D$22,reinforce!$F$22)</f>
              <numCache>
                <formatCode>General</formatCode>
                <ptCount val="2"/>
              </numCache>
            </numRef>
          </yVal>
          <smooth val="0"/>
        </ser>
        <ser>
          <idx val="50"/>
          <order val="50"/>
          <tx>
            <strRef>
              <f>'seep bc'!$B$2</f>
              <strCache>
                <ptCount val="1"/>
                <pt idx="0">
                  <v>Exit Face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'seep bc'!$B$5:$B$24</f>
              <numCache>
                <formatCode>General</formatCode>
                <ptCount val="20"/>
              </numCache>
            </numRef>
          </xVal>
          <yVal>
            <numRef>
              <f>'seep bc'!$C$5:$C$24</f>
              <numCache>
                <formatCode>General</formatCode>
                <ptCount val="20"/>
              </numCache>
            </numRef>
          </yVal>
          <smooth val="0"/>
        </ser>
        <ser>
          <idx val="51"/>
          <order val="51"/>
          <tx>
            <strRef>
              <f>'seep bc'!$E$2:$F$2</f>
              <strCache>
                <ptCount val="1"/>
                <pt idx="0">
                  <v>Head/Flux BC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50000"/>
                </a:schemeClr>
              </a:solidFill>
              <a:ln xmlns:a="http://schemas.openxmlformats.org/drawingml/2006/main" w="9525">
                <a:solidFill>
                  <a:schemeClr val="accent4">
                    <a:lumMod val="50000"/>
                  </a:schemeClr>
                </a:solidFill>
                <a:prstDash val="solid"/>
              </a:ln>
            </spPr>
          </marker>
          <xVal>
            <numRef>
              <f>'seep bc'!$E$5:$E$24</f>
              <numCache>
                <formatCode>General</formatCode>
                <ptCount val="20"/>
              </numCache>
            </numRef>
          </xVal>
          <yVal>
            <numRef>
              <f>'seep bc'!$F$5:$F$24</f>
              <numCache>
                <formatCode>General</formatCode>
                <ptCount val="20"/>
              </numCache>
            </numRef>
          </yVal>
          <smooth val="0"/>
        </ser>
        <ser>
          <idx val="52"/>
          <order val="52"/>
          <tx>
            <strRef>
              <f>'seep bc'!$H$2:$I$2</f>
              <strCache>
                <ptCount val="1"/>
                <pt idx="0">
                  <v>Head/Flux BC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50000"/>
                </a:schemeClr>
              </a:solidFill>
              <a:ln xmlns:a="http://schemas.openxmlformats.org/drawingml/2006/main" w="9525">
                <a:solidFill>
                  <a:schemeClr val="accent5">
                    <a:lumMod val="50000"/>
                  </a:schemeClr>
                </a:solidFill>
                <a:prstDash val="solid"/>
              </a:ln>
            </spPr>
          </marker>
          <xVal>
            <numRef>
              <f>'seep bc'!$H$5:$H$24</f>
              <numCache>
                <formatCode>General</formatCode>
                <ptCount val="20"/>
              </numCache>
            </numRef>
          </xVal>
          <yVal>
            <numRef>
              <f>'seep bc'!$I$5:$I$24</f>
              <numCache>
                <formatCode>General</formatCode>
                <ptCount val="20"/>
              </numCache>
            </numRef>
          </yVal>
          <smooth val="0"/>
        </ser>
        <ser>
          <idx val="53"/>
          <order val="53"/>
          <tx>
            <strRef>
              <f>'seep bc'!$K$2:$L$2</f>
              <strCache>
                <ptCount val="1"/>
                <pt idx="0">
                  <v>Head/Flux BC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50000"/>
                </a:schemeClr>
              </a:solidFill>
              <a:ln xmlns:a="http://schemas.openxmlformats.org/drawingml/2006/main" w="9525">
                <a:solidFill>
                  <a:schemeClr val="accent6">
                    <a:lumMod val="50000"/>
                  </a:schemeClr>
                </a:solidFill>
                <a:prstDash val="solid"/>
              </a:ln>
            </spPr>
          </marker>
          <xVal>
            <numRef>
              <f>'seep bc'!$K$5:$K$24</f>
              <numCache>
                <formatCode>General</formatCode>
                <ptCount val="20"/>
              </numCache>
            </numRef>
          </xVal>
          <yVal>
            <numRef>
              <f>'seep bc'!$L$5:$L$24</f>
              <numCache>
                <formatCode>General</formatCode>
                <ptCount val="20"/>
              </numCache>
            </numRef>
          </yVal>
          <smooth val="0"/>
        </ser>
        <ser>
          <idx val="54"/>
          <order val="54"/>
          <tx>
            <strRef>
              <f>'seep bc'!$N$2:$O$2</f>
              <strCache>
                <ptCount val="1"/>
                <pt idx="0">
                  <v>Head/Flux BC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bc'!$N$5:$N$24</f>
              <numCache>
                <formatCode>General</formatCode>
                <ptCount val="20"/>
              </numCache>
            </numRef>
          </xVal>
          <yVal>
            <numRef>
              <f>'seep bc'!$O$5:$O$24</f>
              <numCache>
                <formatCode>General</formatCode>
                <ptCount val="20"/>
              </numCache>
            </numRef>
          </yVal>
          <smooth val="0"/>
        </ser>
        <ser>
          <idx val="55"/>
          <order val="55"/>
          <tx>
            <strRef>
              <f>'seep bc'!$Q$2:$R$2</f>
              <strCache>
                <ptCount val="1"/>
                <pt idx="0">
                  <v>Head/Flux BC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bc'!$Q$5:$Q$24</f>
              <numCache>
                <formatCode>General</formatCode>
                <ptCount val="20"/>
              </numCache>
            </numRef>
          </xVal>
          <yVal>
            <numRef>
              <f>'seep bc'!$R$5:$R$24</f>
              <numCache>
                <formatCode>General</formatCode>
                <ptCount val="20"/>
              </numCache>
            </numRef>
          </yVal>
          <smooth val="0"/>
        </ser>
        <ser>
          <idx val="56"/>
          <order val="56"/>
          <tx>
            <strRef>
              <f>'seep bc (2)'!$B$2</f>
              <strCache>
                <ptCount val="1"/>
                <pt idx="0">
                  <v>Exit Face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 (2)'!$B$5:$B$24</f>
              <numCache>
                <formatCode>General</formatCode>
                <ptCount val="20"/>
              </numCache>
            </numRef>
          </xVal>
          <yVal>
            <numRef>
              <f>'seep bc (2)'!$C$5:$C$24</f>
              <numCache>
                <formatCode>General</formatCode>
                <ptCount val="20"/>
              </numCache>
            </numRef>
          </yVal>
          <smooth val="0"/>
        </ser>
        <ser>
          <idx val="57"/>
          <order val="57"/>
          <tx>
            <strRef>
              <f>'seep bc (2)'!$E$2:$F$2</f>
              <strCache>
                <ptCount val="1"/>
                <pt idx="0">
                  <v>Head/Flux BC #1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 (2)'!$E$5:$E$24</f>
              <numCache>
                <formatCode>General</formatCode>
                <ptCount val="20"/>
              </numCache>
            </numRef>
          </xVal>
          <yVal>
            <numRef>
              <f>'seep bc (2)'!$F$5:$F$24</f>
              <numCache>
                <formatCode>General</formatCode>
                <ptCount val="20"/>
              </numCache>
            </numRef>
          </yVal>
          <smooth val="0"/>
        </ser>
        <ser>
          <idx val="58"/>
          <order val="58"/>
          <tx>
            <strRef>
              <f>'seep bc (2)'!$H$2:$I$2</f>
              <strCache>
                <ptCount val="1"/>
                <pt idx="0">
                  <v>Head/Flux BC #2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xVal>
            <numRef>
              <f>'seep bc (2)'!$H$5:$H$24</f>
              <numCache>
                <formatCode>General</formatCode>
                <ptCount val="20"/>
              </numCache>
            </numRef>
          </xVal>
          <yVal>
            <numRef>
              <f>'seep bc (2)'!$I$5:$I$24</f>
              <numCache>
                <formatCode>General</formatCode>
                <ptCount val="20"/>
              </numCache>
            </numRef>
          </yVal>
          <smooth val="0"/>
        </ser>
        <ser>
          <idx val="59"/>
          <order val="59"/>
          <tx>
            <strRef>
              <f>'seep bc (2)'!$K$2:$L$2</f>
              <strCache>
                <ptCount val="1"/>
                <pt idx="0">
                  <v>Head/Flux BC #3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xVal>
            <numRef>
              <f>'seep bc (2)'!$K$5:$K$24</f>
              <numCache>
                <formatCode>General</formatCode>
                <ptCount val="20"/>
              </numCache>
            </numRef>
          </xVal>
          <yVal>
            <numRef>
              <f>'seep bc (2)'!$L$5:$L$24</f>
              <numCache>
                <formatCode>General</formatCode>
                <ptCount val="20"/>
              </numCache>
            </numRef>
          </yVal>
          <smooth val="0"/>
        </ser>
        <ser>
          <idx val="60"/>
          <order val="60"/>
          <tx>
            <strRef>
              <f>'seep bc (2)'!$N$2:$O$2</f>
              <strCache>
                <ptCount val="1"/>
                <pt idx="0">
                  <v>Head/Flux BC #4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</a:schemeClr>
                </a:solidFill>
                <a:prstDash val="solid"/>
              </a:ln>
            </spPr>
          </marker>
          <xVal>
            <numRef>
              <f>'seep bc (2)'!$N$5:$N$24</f>
              <numCache>
                <formatCode>General</formatCode>
                <ptCount val="20"/>
              </numCache>
            </numRef>
          </xVal>
          <yVal>
            <numRef>
              <f>'seep bc (2)'!$O$5:$O$24</f>
              <numCache>
                <formatCode>General</formatCode>
                <ptCount val="20"/>
              </numCache>
            </numRef>
          </yVal>
          <smooth val="0"/>
        </ser>
        <ser>
          <idx val="61"/>
          <order val="61"/>
          <tx>
            <strRef>
              <f>'seep bc (2)'!$Q$2:$R$2</f>
              <strCache>
                <ptCount val="1"/>
                <pt idx="0">
                  <v>Head/Flux BC #5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</a:schemeClr>
                </a:solidFill>
                <a:prstDash val="solid"/>
              </a:ln>
            </spPr>
          </marker>
          <xVal>
            <numRef>
              <f>'seep bc (2)'!$Q$5:$Q$24</f>
              <numCache>
                <formatCode>General</formatCode>
                <ptCount val="20"/>
              </numCache>
            </numRef>
          </xVal>
          <yVal>
            <numRef>
              <f>'seep bc (2)'!$R$5:$R$24</f>
              <numCache>
                <formatCode>General</formatCode>
                <ptCount val="20"/>
              </numCache>
            </numRef>
          </yVal>
          <smooth val="0"/>
        </ser>
        <ser>
          <idx val="62"/>
          <order val="62"/>
          <tx>
            <strRef>
              <f>polygon!$A$4</f>
              <strCache>
                <ptCount val="1"/>
                <pt idx="0">
                  <v>Polygon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xVal>
            <numRef>
              <f>polygon!$A$8:$A$27</f>
              <numCache>
                <formatCode>General</formatCode>
                <ptCount val="20"/>
              </numCache>
            </numRef>
          </xVal>
          <yVal>
            <numRef>
              <f>polygon!$B$8:$B$27</f>
              <numCache>
                <formatCode>General</formatCode>
                <ptCount val="20"/>
              </numCache>
            </numRef>
          </yVal>
          <smooth val="0"/>
        </ser>
        <ser>
          <idx val="63"/>
          <order val="63"/>
          <tx>
            <strRef>
              <f>polygon!$D$4</f>
              <strCache>
                <ptCount val="1"/>
                <pt idx="0">
                  <v>Polygon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</a:schemeClr>
                </a:solidFill>
                <a:prstDash val="solid"/>
              </a:ln>
            </spPr>
          </marker>
          <xVal>
            <numRef>
              <f>polygon!$D$8:$D$27</f>
              <numCache>
                <formatCode>General</formatCode>
                <ptCount val="20"/>
              </numCache>
            </numRef>
          </xVal>
          <yVal>
            <numRef>
              <f>polygon!$E$8:$E$27</f>
              <numCache>
                <formatCode>General</formatCode>
                <ptCount val="20"/>
              </numCache>
            </numRef>
          </yVal>
          <smooth val="0"/>
        </ser>
        <ser>
          <idx val="64"/>
          <order val="64"/>
          <tx>
            <strRef>
              <f>polygon!$G$4</f>
              <strCache>
                <ptCount val="1"/>
                <pt idx="0">
                  <v>Polygon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</a:schemeClr>
                </a:solidFill>
                <a:prstDash val="solid"/>
              </a:ln>
            </spPr>
          </marker>
          <xVal>
            <numRef>
              <f>polygon!$G$8:$G$27</f>
              <numCache>
                <formatCode>General</formatCode>
                <ptCount val="20"/>
              </numCache>
            </numRef>
          </xVal>
          <yVal>
            <numRef>
              <f>polygon!$H$8:$H$27</f>
              <numCache>
                <formatCode>General</formatCode>
                <ptCount val="20"/>
              </numCache>
            </numRef>
          </yVal>
          <smooth val="0"/>
        </ser>
        <ser>
          <idx val="65"/>
          <order val="65"/>
          <tx>
            <strRef>
              <f>polygon!$J$4</f>
              <strCache>
                <ptCount val="1"/>
                <pt idx="0">
                  <v>Polygon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</a:schemeClr>
                </a:solidFill>
                <a:prstDash val="solid"/>
              </a:ln>
            </spPr>
          </marker>
          <xVal>
            <numRef>
              <f>polygon!$J$8:$J$27</f>
              <numCache>
                <formatCode>General</formatCode>
                <ptCount val="20"/>
              </numCache>
            </numRef>
          </xVal>
          <yVal>
            <numRef>
              <f>polygon!$K$8:$K$27</f>
              <numCache>
                <formatCode>General</formatCode>
                <ptCount val="20"/>
              </numCache>
            </numRef>
          </yVal>
          <smooth val="0"/>
        </ser>
        <ser>
          <idx val="66"/>
          <order val="66"/>
          <tx>
            <strRef>
              <f>polygon!$M$4</f>
              <strCache>
                <ptCount val="1"/>
                <pt idx="0">
                  <v>Polygon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polygon!$M$8:$M$27</f>
              <numCache>
                <formatCode>General</formatCode>
                <ptCount val="20"/>
              </numCache>
            </numRef>
          </xVal>
          <yVal>
            <numRef>
              <f>polygon!$N$8:$N$27</f>
              <numCache>
                <formatCode>General</formatCode>
                <ptCount val="20"/>
              </numCache>
            </numRef>
          </yVal>
          <smooth val="0"/>
        </ser>
        <ser>
          <idx val="67"/>
          <order val="67"/>
          <tx>
            <strRef>
              <f>polygon!$P$4</f>
              <strCache>
                <ptCount val="1"/>
                <pt idx="0">
                  <v>Polygon #6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polygon!$P$8:$P$27</f>
              <numCache>
                <formatCode>General</formatCode>
                <ptCount val="20"/>
              </numCache>
            </numRef>
          </xVal>
          <yVal>
            <numRef>
              <f>polygon!$Q$8:$Q$27</f>
              <numCache>
                <formatCode>General</formatCode>
                <ptCount val="20"/>
              </numCache>
            </numRef>
          </yVal>
          <smooth val="0"/>
        </ser>
        <ser>
          <idx val="68"/>
          <order val="68"/>
          <tx>
            <strRef>
              <f>polygon!$S$4</f>
              <strCache>
                <ptCount val="1"/>
                <pt idx="0">
                  <v>Polygon #7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polygon!$S$8:$S$27</f>
              <numCache>
                <formatCode>General</formatCode>
                <ptCount val="20"/>
              </numCache>
            </numRef>
          </xVal>
          <yVal>
            <numRef>
              <f>polygon!$T$8:$T$27</f>
              <numCache>
                <formatCode>General</formatCode>
                <ptCount val="20"/>
              </numCache>
            </numRef>
          </yVal>
          <smooth val="0"/>
        </ser>
        <ser>
          <idx val="69"/>
          <order val="69"/>
          <tx>
            <strRef>
              <f>polygon!$V$4</f>
              <strCache>
                <ptCount val="1"/>
                <pt idx="0">
                  <v>Polygon #8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polygon!$V$8:$V$27</f>
              <numCache>
                <formatCode>General</formatCode>
                <ptCount val="20"/>
              </numCache>
            </numRef>
          </xVal>
          <yVal>
            <numRef>
              <f>polygon!$W$8:$W$27</f>
              <numCache>
                <formatCode>General</formatCode>
                <ptCount val="20"/>
              </numCache>
            </numRef>
          </yVal>
          <smooth val="0"/>
        </ser>
        <ser>
          <idx val="70"/>
          <order val="70"/>
          <tx>
            <strRef>
              <f>polygon!$Y$4</f>
              <strCache>
                <ptCount val="1"/>
                <pt idx="0">
                  <v>Polygon #9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polygon!$Y$8:$Y$27</f>
              <numCache>
                <formatCode>General</formatCode>
                <ptCount val="20"/>
              </numCache>
            </numRef>
          </xVal>
          <yVal>
            <numRef>
              <f>polygon!$Z$8:$Z$27</f>
              <numCache>
                <formatCode>General</formatCode>
                <ptCount val="20"/>
              </numCache>
            </numRef>
          </yVal>
          <smooth val="0"/>
        </ser>
        <ser>
          <idx val="71"/>
          <order val="71"/>
          <tx>
            <strRef>
              <f>polygon!$AB$4</f>
              <strCache>
                <ptCount val="1"/>
                <pt idx="0">
                  <v>Polygon #10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polygon!$AB$8:$AB$27</f>
              <numCache>
                <formatCode>General</formatCode>
                <ptCount val="20"/>
              </numCache>
            </numRef>
          </xVal>
          <yVal>
            <numRef>
              <f>polygon!$AC$8:$AC$27</f>
              <numCache>
                <formatCode>General</formatCode>
                <ptCount val="20"/>
              </numCache>
            </numRef>
          </yVal>
          <smooth val="0"/>
        </ser>
        <ser>
          <idx val="72"/>
          <order val="72"/>
          <tx>
            <strRef>
              <f>polygon!$AE$4</f>
              <strCache>
                <ptCount val="1"/>
                <pt idx="0">
                  <v>Polygon #11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polygon!$AE$8:$AE$27</f>
              <numCache>
                <formatCode>General</formatCode>
                <ptCount val="20"/>
              </numCache>
            </numRef>
          </xVal>
          <yVal>
            <numRef>
              <f>polygon!$AF$8:$AF$27</f>
              <numCache>
                <formatCode>General</formatCode>
                <ptCount val="20"/>
              </numCache>
            </numRef>
          </yVal>
          <smooth val="0"/>
        </ser>
        <ser>
          <idx val="73"/>
          <order val="73"/>
          <tx>
            <strRef>
              <f>polygon!$AH$4</f>
              <strCache>
                <ptCount val="1"/>
                <pt idx="0">
                  <v>Polygon #12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polygon!$AH$8:$AH$27</f>
              <numCache>
                <formatCode>General</formatCode>
                <ptCount val="20"/>
              </numCache>
            </numRef>
          </xVal>
          <yVal>
            <numRef>
              <f>polygon!$AI$8:$AI$27</f>
              <numCache>
                <formatCode>General</formatCode>
                <ptCount val="20"/>
              </numCache>
            </numRef>
          </yVal>
          <smooth val="0"/>
        </ser>
        <ser>
          <idx val="74"/>
          <order val="74"/>
          <tx>
            <strRef>
              <f>polygon!$AK$4</f>
              <strCache>
                <ptCount val="1"/>
                <pt idx="0">
                  <v>Polygon #13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polygon!$AK$8:$AK$27</f>
              <numCache>
                <formatCode>General</formatCode>
                <ptCount val="20"/>
              </numCache>
            </numRef>
          </xVal>
          <yVal>
            <numRef>
              <f>polygon!$AL$8:$AL$27</f>
              <numCache>
                <formatCode>General</formatCode>
                <ptCount val="20"/>
              </numCache>
            </numRef>
          </yVal>
          <smooth val="0"/>
        </ser>
        <ser>
          <idx val="75"/>
          <order val="75"/>
          <tx>
            <strRef>
              <f>polygon!$AN$4</f>
              <strCache>
                <ptCount val="1"/>
                <pt idx="0">
                  <v>Polygon #14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polygon!$AN$8:$AN$27</f>
              <numCache>
                <formatCode>General</formatCode>
                <ptCount val="20"/>
              </numCache>
            </numRef>
          </xVal>
          <yVal>
            <numRef>
              <f>polygon!$AO$8:$AO$27</f>
              <numCache>
                <formatCode>General</formatCode>
                <ptCount val="20"/>
              </numCache>
            </numRef>
          </yVal>
          <smooth val="0"/>
        </ser>
        <ser>
          <idx val="76"/>
          <order val="76"/>
          <tx>
            <strRef>
              <f>polygon!$AQ$4</f>
              <strCache>
                <ptCount val="1"/>
                <pt idx="0">
                  <v>Polygon #15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polygon!$AQ$8:$AQ$27</f>
              <numCache>
                <formatCode>General</formatCode>
                <ptCount val="20"/>
              </numCache>
            </numRef>
          </xVal>
          <yVal>
            <numRef>
              <f>polygon!$AR$8:$AR$27</f>
              <numCache>
                <formatCode>General</formatCode>
                <ptCount val="20"/>
              </numCache>
            </numRef>
          </yVal>
          <smooth val="0"/>
        </ser>
        <ser>
          <idx val="77"/>
          <order val="77"/>
          <tx>
            <v>Pile #1</v>
          </tx>
          <spPr>
            <a:ln xmlns:a="http://schemas.openxmlformats.org/drawingml/2006/main"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</a:schemeClr>
                </a:solidFill>
                <a:prstDash val="solid"/>
              </a:ln>
            </spPr>
          </marker>
          <xVal>
            <numRef>
              <f>(piles!$C$3,piles!$E$3)</f>
              <numCache>
                <formatCode>General</formatCode>
                <ptCount val="2"/>
              </numCache>
            </numRef>
          </xVal>
          <yVal>
            <numRef>
              <f>(piles!$D$3,piles!$F$3)</f>
              <numCache>
                <formatCode>General</formatCode>
                <ptCount val="2"/>
              </numCache>
            </numRef>
          </yVal>
          <smooth val="0"/>
        </ser>
        <ser>
          <idx val="78"/>
          <order val="78"/>
          <tx>
            <v>Pile #2</v>
          </tx>
          <spPr>
            <a:ln xmlns:a="http://schemas.openxmlformats.org/drawingml/2006/main"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(piles!$C$4,piles!$E$4)</f>
              <numCache>
                <formatCode>General</formatCode>
                <ptCount val="2"/>
              </numCache>
            </numRef>
          </xVal>
          <yVal>
            <numRef>
              <f>(piles!$D$4,piles!$F$4)</f>
              <numCache>
                <formatCode>General</formatCode>
                <ptCount val="2"/>
              </numCache>
            </numRef>
          </yVal>
          <smooth val="0"/>
        </ser>
        <ser>
          <idx val="79"/>
          <order val="79"/>
          <tx>
            <v>Pile #3</v>
          </tx>
          <spPr>
            <a:ln xmlns:a="http://schemas.openxmlformats.org/drawingml/2006/main"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(piles!$C$5,piles!$E$5)</f>
              <numCache>
                <formatCode>General</formatCode>
                <ptCount val="2"/>
              </numCache>
            </numRef>
          </xVal>
          <yVal>
            <numRef>
              <f>(piles!$D$5,piles!$F$5)</f>
              <numCache>
                <formatCode>General</formatCode>
                <ptCount val="2"/>
              </numCache>
            </numRef>
          </yVal>
          <smooth val="0"/>
        </ser>
        <ser>
          <idx val="80"/>
          <order val="80"/>
          <tx>
            <v>Pile #4</v>
          </tx>
          <spPr>
            <a:ln xmlns:a="http://schemas.openxmlformats.org/drawingml/2006/main"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(piles!$C$6,piles!$E$6)</f>
              <numCache>
                <formatCode>General</formatCode>
                <ptCount val="2"/>
              </numCache>
            </numRef>
          </xVal>
          <yVal>
            <numRef>
              <f>(piles!$D$6,piles!$F$6)</f>
              <numCache>
                <formatCode>General</formatCode>
                <ptCount val="2"/>
              </numCache>
            </numRef>
          </yVal>
          <smooth val="0"/>
        </ser>
        <ser>
          <idx val="81"/>
          <order val="81"/>
          <tx>
            <v>Pile #5</v>
          </tx>
          <spPr>
            <a:ln xmlns:a="http://schemas.openxmlformats.org/drawingml/2006/main"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(piles!$C$7,piles!$E$7)</f>
              <numCache>
                <formatCode>General</formatCode>
                <ptCount val="2"/>
              </numCache>
            </numRef>
          </xVal>
          <yVal>
            <numRef>
              <f>(piles!$D$7,piles!$F$7)</f>
              <numCache>
                <formatCode>General</formatCode>
                <ptCount val="2"/>
              </numCache>
            </numRef>
          </yVal>
          <smooth val="0"/>
        </ser>
        <ser>
          <idx val="82"/>
          <order val="82"/>
          <tx>
            <v>Pile #6</v>
          </tx>
          <spPr>
            <a:ln xmlns:a="http://schemas.openxmlformats.org/drawingml/2006/main"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(piles!$C$8,piles!$E$8)</f>
              <numCache>
                <formatCode>General</formatCode>
                <ptCount val="2"/>
              </numCache>
            </numRef>
          </xVal>
          <yVal>
            <numRef>
              <f>(piles!$D$8,piles!$F$8)</f>
              <numCache>
                <formatCode>General</formatCode>
                <ptCount val="2"/>
              </numCache>
            </numRef>
          </yVal>
          <smooth val="0"/>
        </ser>
        <ser>
          <idx val="83"/>
          <order val="83"/>
          <tx>
            <v>Pile #7</v>
          </tx>
          <spPr>
            <a:ln xmlns:a="http://schemas.openxmlformats.org/drawingml/2006/main"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(piles!$C$9,piles!$E$9)</f>
              <numCache>
                <formatCode>General</formatCode>
                <ptCount val="2"/>
              </numCache>
            </numRef>
          </xVal>
          <yVal>
            <numRef>
              <f>(piles!$D$9,piles!$F$9)</f>
              <numCache>
                <formatCode>General</formatCode>
                <ptCount val="2"/>
              </numCache>
            </numRef>
          </yVal>
          <smooth val="0"/>
        </ser>
        <ser>
          <idx val="84"/>
          <order val="84"/>
          <tx>
            <v>Pile #8</v>
          </tx>
          <spPr>
            <a:ln xmlns:a="http://schemas.openxmlformats.org/drawingml/2006/main"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50000"/>
                </a:schemeClr>
              </a:solidFill>
              <a:ln xmlns:a="http://schemas.openxmlformats.org/drawingml/2006/main" w="9525">
                <a:solidFill>
                  <a:schemeClr val="accent1">
                    <a:lumMod val="50000"/>
                  </a:schemeClr>
                </a:solidFill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5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5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50000"/>
                  </a:schemeClr>
                </a:solidFill>
                <a:prstDash val="solid"/>
                <a:round/>
              </a:ln>
            </spPr>
          </dPt>
          <xVal>
            <numRef>
              <f>(piles!$C$10,piles!$E$10)</f>
              <numCache>
                <formatCode>General</formatCode>
                <ptCount val="2"/>
              </numCache>
            </numRef>
          </xVal>
          <yVal>
            <numRef>
              <f>(piles!$D$10,piles!$F$10)</f>
              <numCache>
                <formatCode>General</formatCode>
                <ptCount val="2"/>
              </numCache>
            </numRef>
          </yVal>
          <smooth val="0"/>
        </ser>
        <ser>
          <idx val="85"/>
          <order val="85"/>
          <tx>
            <v>Pile #9</v>
          </tx>
          <spPr>
            <a:ln xmlns:a="http://schemas.openxmlformats.org/drawingml/2006/main"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50000"/>
                </a:schemeClr>
              </a:solidFill>
              <a:ln xmlns:a="http://schemas.openxmlformats.org/drawingml/2006/main" w="9525">
                <a:solidFill>
                  <a:schemeClr val="accent2">
                    <a:lumMod val="50000"/>
                  </a:schemeClr>
                </a:solidFill>
                <a:prstDash val="solid"/>
              </a:ln>
            </spPr>
          </marker>
          <xVal>
            <numRef>
              <f>(piles!$C$11,piles!$E$11)</f>
              <numCache>
                <formatCode>General</formatCode>
                <ptCount val="2"/>
              </numCache>
            </numRef>
          </xVal>
          <yVal>
            <numRef>
              <f>(piles!$D$11,piles!$F$11)</f>
              <numCache>
                <formatCode>General</formatCode>
                <ptCount val="2"/>
              </numCache>
            </numRef>
          </yVal>
          <smooth val="0"/>
        </ser>
        <ser>
          <idx val="86"/>
          <order val="86"/>
          <tx>
            <v>Pile #10</v>
          </tx>
          <spPr>
            <a:ln xmlns:a="http://schemas.openxmlformats.org/drawingml/2006/main"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50000"/>
                </a:schemeClr>
              </a:solidFill>
              <a:ln xmlns:a="http://schemas.openxmlformats.org/drawingml/2006/main" w="9525">
                <a:solidFill>
                  <a:schemeClr val="accent3">
                    <a:lumMod val="50000"/>
                  </a:schemeClr>
                </a:solidFill>
                <a:prstDash val="solid"/>
              </a:ln>
            </spPr>
          </marker>
          <xVal>
            <numRef>
              <f>(piles!$C$12,piles!$E$12)</f>
              <numCache>
                <formatCode>General</formatCode>
                <ptCount val="2"/>
              </numCache>
            </numRef>
          </xVal>
          <yVal>
            <numRef>
              <f>(piles!$D$12,piles!$F$12)</f>
              <numCache>
                <formatCode>General</formatCode>
                <ptCount val="2"/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7802911"/>
        <axId val="17804623"/>
      </scatterChart>
      <valAx>
        <axId val="17802911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804623"/>
        <crosses val="autoZero"/>
        <crossBetween val="midCat"/>
      </valAx>
      <valAx>
        <axId val="1780462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802911"/>
        <crosses val="autoZero"/>
        <crossBetween val="midCat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scatterChart>
        <scatterStyle val="smoothMarker"/>
        <varyColors val="0"/>
        <ser>
          <idx val="0"/>
          <order val="0"/>
          <tx>
            <strRef>
              <f>tseep!$C$2</f>
              <strCache>
                <ptCount val="1"/>
                <pt idx="0">
                  <v>t1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tseep!$C$3:$C$100</f>
              <numCache>
                <formatCode>General</formatCode>
                <ptCount val="98"/>
              </numCache>
            </numRef>
          </yVal>
          <smooth val="1"/>
        </ser>
        <ser>
          <idx val="1"/>
          <order val="1"/>
          <tx>
            <strRef>
              <f>tseep!$D$2</f>
              <strCache>
                <ptCount val="1"/>
                <pt idx="0">
                  <v>t2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tseep!$D$3:$D$100</f>
              <numCache>
                <formatCode>General</formatCode>
                <ptCount val="98"/>
              </numCache>
            </numRef>
          </yVal>
          <smooth val="1"/>
        </ser>
        <ser>
          <idx val="2"/>
          <order val="2"/>
          <tx>
            <strRef>
              <f>tseep!$E$2</f>
              <strCache>
                <ptCount val="1"/>
                <pt idx="0">
                  <v>t3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tseep!$E$3:$E$100</f>
              <numCache>
                <formatCode>General</formatCode>
                <ptCount val="98"/>
              </numCache>
            </numRef>
          </yVal>
          <smooth val="1"/>
        </ser>
        <ser>
          <idx val="3"/>
          <order val="3"/>
          <tx>
            <strRef>
              <f>tseep!$F$2</f>
              <strCache>
                <ptCount val="1"/>
                <pt idx="0">
                  <v>t4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tseep!$F$3:$F$100</f>
              <numCache>
                <formatCode>General</formatCode>
                <ptCount val="98"/>
              </numCache>
            </numRef>
          </yVal>
          <smooth val="1"/>
        </ser>
        <ser>
          <idx val="4"/>
          <order val="4"/>
          <tx>
            <strRef>
              <f>tseep!$G$2</f>
              <strCache>
                <ptCount val="1"/>
                <pt idx="0">
                  <v>t5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tseep!$G$3:$G$100</f>
              <numCache>
                <formatCode>General</formatCode>
                <ptCount val="98"/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82614975"/>
        <axId val="782616767"/>
      </scatterChart>
      <valAx>
        <axId val="782614975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82616767"/>
        <crosses val="autoZero"/>
        <crossBetween val="midCat"/>
      </valAx>
      <valAx>
        <axId val="7826167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82614975"/>
        <crosses val="autoZero"/>
        <crossBetween val="midCat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0</col>
      <colOff>589642</colOff>
      <row>1</row>
      <rowOff>190499</rowOff>
    </from>
    <to>
      <col>14</col>
      <colOff>609600</colOff>
      <row>35</row>
      <rowOff>142240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11</col>
      <colOff>99785</colOff>
      <row>1</row>
      <rowOff>88901</rowOff>
    </from>
    <to>
      <col>18</col>
      <colOff>299357</colOff>
      <row>22</row>
      <rowOff>99787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zoomScale="140" zoomScaleNormal="140" workbookViewId="0">
      <selection activeCell="D17" sqref="D17"/>
    </sheetView>
  </sheetViews>
  <sheetFormatPr baseColWidth="10" defaultRowHeight="16"/>
  <cols>
    <col width="5.6640625" customWidth="1" min="1" max="1"/>
    <col width="10.33203125" customWidth="1" min="2" max="2"/>
    <col width="12" customWidth="1" style="1" min="3" max="4"/>
    <col width="7.5" customWidth="1" min="5" max="5"/>
    <col width="52.83203125" bestFit="1" customWidth="1" min="7" max="7"/>
  </cols>
  <sheetData>
    <row r="1" ht="32" customHeight="1">
      <c r="A1" s="7" t="inlineStr">
        <is>
          <t>XSLOPE Input Template</t>
        </is>
      </c>
    </row>
    <row r="3" ht="19" customHeight="1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19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1" t="inlineStr">
        <is>
          <t>Imperial</t>
        </is>
      </c>
      <c r="F8" s="1" t="inlineStr">
        <is>
          <t>plot</t>
        </is>
      </c>
      <c r="G8" t="inlineStr">
        <is>
          <t>Plot of geometric inputs from other sheets</t>
        </is>
      </c>
    </row>
    <row r="9">
      <c r="C9" s="14" t="inlineStr">
        <is>
          <t>Time:</t>
        </is>
      </c>
      <c r="D9" s="1" t="inlineStr">
        <is>
          <t>day</t>
        </is>
      </c>
      <c r="F9" s="1" t="inlineStr">
        <is>
          <t>mat</t>
        </is>
      </c>
      <c r="G9" t="inlineStr">
        <is>
          <t>Material properties. One per set per profile line</t>
        </is>
      </c>
    </row>
    <row r="10">
      <c r="C10" s="14" t="inlineStr">
        <is>
          <t xml:space="preserve">Unit weight of water: </t>
        </is>
      </c>
      <c r="D10" s="1" t="n">
        <v>62.4</v>
      </c>
      <c r="F10" s="1" t="inlineStr">
        <is>
          <t>profile</t>
        </is>
      </c>
      <c r="G10" t="inlineStr">
        <is>
          <t>Profile lines describing the slope geometry</t>
        </is>
      </c>
    </row>
    <row r="11">
      <c r="B11" s="1" t="n"/>
      <c r="C11" s="14" t="inlineStr">
        <is>
          <t>Tension crack depth:</t>
        </is>
      </c>
      <c r="D11" s="1" t="n">
        <v>0</v>
      </c>
      <c r="F11" s="1" t="inlineStr">
        <is>
          <t>polygon</t>
        </is>
      </c>
      <c r="G11" t="inlineStr">
        <is>
          <t>Polygons describing the slope geometry</t>
        </is>
      </c>
    </row>
    <row r="12">
      <c r="C12" s="14" t="inlineStr">
        <is>
          <t>Depth of water in crack:</t>
        </is>
      </c>
      <c r="D12" s="1" t="n">
        <v>0</v>
      </c>
      <c r="F12" s="1" t="inlineStr">
        <is>
          <t>piezo</t>
        </is>
      </c>
      <c r="G12" t="inlineStr">
        <is>
          <t>Piezometric line to define pore pressures</t>
        </is>
      </c>
    </row>
    <row r="13">
      <c r="C13" s="14" t="inlineStr">
        <is>
          <t xml:space="preserve">Seismic coefficient (k): </t>
        </is>
      </c>
      <c r="D13" s="1" t="n">
        <v>0</v>
      </c>
      <c r="F13" s="1" t="inlineStr">
        <is>
          <t>circles</t>
        </is>
      </c>
      <c r="G13" t="inlineStr">
        <is>
          <t>Starting  circles for critical circle search</t>
        </is>
      </c>
    </row>
    <row r="14">
      <c r="C14" s="14" t="inlineStr">
        <is>
          <t>K0 initial stress (FEM):</t>
        </is>
      </c>
      <c r="D14" s="1" t="n"/>
      <c r="F14" s="1" t="inlineStr">
        <is>
          <t>noncirc</t>
        </is>
      </c>
      <c r="G14" t="inlineStr">
        <is>
          <t>Non-circular failure surface</t>
        </is>
      </c>
    </row>
    <row r="15">
      <c r="C15" s="14" t="inlineStr">
        <is>
          <t>Tension SRF (FEM):</t>
        </is>
      </c>
      <c r="D15" s="1" t="inlineStr">
        <is>
          <t>YES</t>
        </is>
      </c>
      <c r="F15" s="1" t="inlineStr">
        <is>
          <t>dloads</t>
        </is>
      </c>
      <c r="G15" t="inlineStr">
        <is>
          <t>Distributed loads</t>
        </is>
      </c>
    </row>
    <row r="16">
      <c r="C16" s="14" t="inlineStr">
        <is>
          <t>LEM method:</t>
        </is>
      </c>
      <c r="D16" s="1" t="n"/>
      <c r="F16" s="1" t="inlineStr">
        <is>
          <t>dloads (2)</t>
        </is>
      </c>
      <c r="G16" t="inlineStr">
        <is>
          <t>Distributed loads for stage 2 of multistage analysis</t>
        </is>
      </c>
    </row>
    <row r="17">
      <c r="B17" s="1" t="n"/>
      <c r="C17" s="14" t="inlineStr">
        <is>
          <t>Number of slices:</t>
        </is>
      </c>
      <c r="D17" s="1" t="n"/>
      <c r="F17" s="1" t="inlineStr">
        <is>
          <t>reinforce</t>
        </is>
      </c>
      <c r="G17" t="inlineStr">
        <is>
          <t>Reinforcement lines</t>
        </is>
      </c>
    </row>
    <row r="18">
      <c r="C18" s="14" t="inlineStr">
        <is>
          <t>Mesh element type:</t>
        </is>
      </c>
      <c r="D18" s="1" t="n"/>
      <c r="F18" s="1" t="inlineStr">
        <is>
          <t>piles</t>
        </is>
      </c>
      <c r="G18" t="inlineStr">
        <is>
          <t>Piles</t>
        </is>
      </c>
    </row>
    <row r="19">
      <c r="C19" s="14" t="inlineStr">
        <is>
          <t>Mesh target size:</t>
        </is>
      </c>
      <c r="D19" s="1" t="n"/>
      <c r="F19" s="1" t="inlineStr">
        <is>
          <t>lloads</t>
        </is>
      </c>
      <c r="G19" t="inlineStr">
        <is>
          <t>Line loads</t>
        </is>
      </c>
    </row>
    <row r="20">
      <c r="C20" s="14" t="inlineStr">
        <is>
          <t>SSRM F min:</t>
        </is>
      </c>
      <c r="D20" s="1" t="n"/>
      <c r="F20" s="1" t="inlineStr">
        <is>
          <t>seep bc</t>
        </is>
      </c>
      <c r="G20" s="9" t="inlineStr">
        <is>
          <t>Seepage boundary conditions</t>
        </is>
      </c>
    </row>
    <row r="21">
      <c r="C21" s="14" t="inlineStr">
        <is>
          <t>SSRM F max:</t>
        </is>
      </c>
      <c r="D21" s="1" t="n"/>
      <c r="F21" s="1" t="inlineStr">
        <is>
          <t>seep bc (2)</t>
        </is>
      </c>
      <c r="G21" s="9" t="inlineStr">
        <is>
          <t>Seepage boundary conditions for stage 2 of multistage analysis</t>
        </is>
      </c>
    </row>
    <row r="22">
      <c r="F22" s="1" t="inlineStr">
        <is>
          <t>tseep</t>
        </is>
      </c>
      <c r="G22" t="inlineStr">
        <is>
          <t>Transient seepage boundary conditions and run options</t>
        </is>
      </c>
    </row>
    <row r="23">
      <c r="B23" s="1" t="n"/>
    </row>
    <row r="24">
      <c r="B24" s="1" t="n"/>
    </row>
    <row r="49">
      <c r="D49" s="1" t="inlineStr">
        <is>
          <t>Unit Options:</t>
        </is>
      </c>
    </row>
    <row r="50">
      <c r="D50" s="1" t="inlineStr">
        <is>
          <t>SI</t>
        </is>
      </c>
    </row>
    <row r="51">
      <c r="D51" s="1" t="inlineStr">
        <is>
          <t>Imperial</t>
        </is>
      </c>
    </row>
    <row r="53">
      <c r="D53" s="1" t="inlineStr">
        <is>
          <t>Time Units:</t>
        </is>
      </c>
    </row>
    <row r="54">
      <c r="D54" s="1" t="inlineStr">
        <is>
          <t>sec</t>
        </is>
      </c>
    </row>
    <row r="55">
      <c r="D55" s="1" t="inlineStr">
        <is>
          <t>min</t>
        </is>
      </c>
    </row>
    <row r="56">
      <c r="D56" s="1" t="inlineStr">
        <is>
          <t>hr</t>
        </is>
      </c>
    </row>
    <row r="57">
      <c r="D57" s="1" t="inlineStr">
        <is>
          <t>day</t>
        </is>
      </c>
    </row>
    <row r="59">
      <c r="D59" s="1" t="inlineStr">
        <is>
          <t>Tension SRF Options:</t>
        </is>
      </c>
    </row>
    <row r="60">
      <c r="D60" s="1" t="inlineStr">
        <is>
          <t>YES</t>
        </is>
      </c>
    </row>
    <row r="61">
      <c r="D61" s="1" t="inlineStr">
        <is>
          <t>NO</t>
        </is>
      </c>
    </row>
    <row r="63">
      <c r="D63" s="1" t="inlineStr">
        <is>
          <t>LEM Method Options:</t>
        </is>
      </c>
    </row>
    <row r="64">
      <c r="D64" s="1" t="inlineStr">
        <is>
          <t>oms</t>
        </is>
      </c>
    </row>
    <row r="65">
      <c r="D65" s="1" t="inlineStr">
        <is>
          <t>bishop</t>
        </is>
      </c>
    </row>
    <row r="66">
      <c r="D66" s="1" t="inlineStr">
        <is>
          <t>janbu</t>
        </is>
      </c>
    </row>
    <row r="67">
      <c r="D67" s="1" t="inlineStr">
        <is>
          <t>spencer</t>
        </is>
      </c>
    </row>
    <row r="68">
      <c r="D68" s="1" t="inlineStr">
        <is>
          <t>mprice</t>
        </is>
      </c>
    </row>
    <row r="69">
      <c r="D69" s="1" t="inlineStr">
        <is>
          <t>corps</t>
        </is>
      </c>
    </row>
    <row r="70">
      <c r="D70" s="1" t="inlineStr">
        <is>
          <t>lowe</t>
        </is>
      </c>
    </row>
    <row r="71">
      <c r="D71" s="1" t="inlineStr">
        <is>
          <t>all</t>
        </is>
      </c>
    </row>
    <row r="73">
      <c r="D73" s="1" t="inlineStr">
        <is>
          <t>Element Options:</t>
        </is>
      </c>
    </row>
    <row r="74">
      <c r="D74" s="1" t="inlineStr">
        <is>
          <t>tri3</t>
        </is>
      </c>
    </row>
    <row r="75">
      <c r="D75" s="1" t="inlineStr">
        <is>
          <t>tri6</t>
        </is>
      </c>
    </row>
    <row r="76">
      <c r="D76" s="1" t="inlineStr">
        <is>
          <t>quad4</t>
        </is>
      </c>
    </row>
    <row r="77">
      <c r="D77" s="1" t="inlineStr">
        <is>
          <t>quad8</t>
        </is>
      </c>
    </row>
    <row r="78">
      <c r="D78" s="1" t="inlineStr">
        <is>
          <t>quad9</t>
        </is>
      </c>
    </row>
  </sheetData>
  <mergeCells count="1">
    <mergeCell ref="B7:D7"/>
  </mergeCells>
  <dataValidations count="5"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5" showDropDown="0" showInputMessage="0" showErrorMessage="0" allowBlank="1" type="list">
      <formula1>$D$60:$D$61</formula1>
    </dataValidation>
    <dataValidation sqref="D16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topLeftCell="B1" zoomScale="125" zoomScaleNormal="140" workbookViewId="0">
      <selection activeCell="Q41" sqref="Q41"/>
    </sheetView>
  </sheetViews>
  <sheetFormatPr baseColWidth="10" defaultRowHeight="16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52"/>
  <sheetViews>
    <sheetView showGridLines="0" topLeftCell="V1" zoomScale="140" zoomScaleNormal="140" workbookViewId="0">
      <selection activeCell="AQ15" sqref="AQ15"/>
    </sheetView>
  </sheetViews>
  <sheetFormatPr baseColWidth="10" defaultRowHeight="16"/>
  <cols>
    <col width="7" customWidth="1" style="1" min="1" max="1"/>
    <col width="17.33203125" customWidth="1" style="1" min="2" max="2"/>
    <col width="8.5" customWidth="1" style="1" min="3" max="10"/>
    <col width="8.5" customWidth="1" min="11" max="42"/>
  </cols>
  <sheetData>
    <row r="1"/>
    <row r="2">
      <c r="C2" s="6" t="inlineStr">
        <is>
          <t>Strength options</t>
        </is>
      </c>
      <c r="L2" s="6" t="inlineStr">
        <is>
          <t>Color legend</t>
        </is>
      </c>
      <c r="P2" s="6" t="inlineStr">
        <is>
          <t>Pore pressure (u) options</t>
        </is>
      </c>
      <c r="AE2" s="6" t="n"/>
      <c r="AK2" s="6" t="inlineStr">
        <is>
          <t>Unsat model option</t>
        </is>
      </c>
    </row>
    <row r="3">
      <c r="C3" s="1" t="inlineStr">
        <is>
          <t>mc</t>
        </is>
      </c>
      <c r="D3" t="inlineStr">
        <is>
          <t>Traditional Mohr-Coulomb failure envelope (c and phi)</t>
        </is>
      </c>
      <c r="P3" s="1" t="inlineStr">
        <is>
          <t>none</t>
        </is>
      </c>
      <c r="Q3" t="inlineStr">
        <is>
          <t>No pore pressures (total stress analysis)</t>
        </is>
      </c>
      <c r="AE3" s="14" t="n"/>
      <c r="AK3" s="1" t="inlineStr">
        <is>
          <t>lf</t>
        </is>
      </c>
      <c r="AL3" t="inlineStr">
        <is>
          <t>linear front model (kr0,h0)</t>
        </is>
      </c>
    </row>
    <row r="4">
      <c r="C4" s="1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P4" s="1" t="inlineStr">
        <is>
          <t>piezo</t>
        </is>
      </c>
      <c r="Q4" t="inlineStr">
        <is>
          <t>Use piezometric line</t>
        </is>
      </c>
      <c r="AE4" s="14" t="n"/>
      <c r="AK4" s="1" t="inlineStr">
        <is>
          <t>vg</t>
        </is>
      </c>
      <c r="AL4" t="inlineStr">
        <is>
          <t>van Genuchten model (a, n)</t>
        </is>
      </c>
    </row>
    <row r="5">
      <c r="C5" s="1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P5" s="1" t="inlineStr">
        <is>
          <t>seep</t>
        </is>
      </c>
      <c r="Q5" s="9" t="inlineStr">
        <is>
          <t>Use seepage solution</t>
        </is>
      </c>
      <c r="AE5" s="14" t="n"/>
      <c r="AK5" s="1" t="inlineStr">
        <is>
          <t>gard</t>
        </is>
      </c>
      <c r="AL5" s="9" t="inlineStr">
        <is>
          <t>Gardner model (a, n)</t>
        </is>
      </c>
    </row>
    <row r="6">
      <c r="C6" s="1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P6" s="1" t="inlineStr">
        <is>
          <t>ru</t>
        </is>
      </c>
      <c r="Q6" t="inlineStr">
        <is>
          <t>Pore pressure ratio (u = ru * sigma_v)</t>
        </is>
      </c>
      <c r="AF6" s="1" t="n"/>
      <c r="AG6" s="1" t="n"/>
    </row>
    <row r="7">
      <c r="C7" s="1" t="inlineStr">
        <is>
          <t>elastic</t>
        </is>
      </c>
      <c r="D7" s="9" t="inlineStr">
        <is>
          <t>Elastic / infinite strength (cannot fail). FEM: no yield; LEM: impenetrable</t>
        </is>
      </c>
      <c r="AF7" s="1" t="n"/>
      <c r="AG7" s="1" t="n"/>
    </row>
    <row r="8"/>
    <row r="9">
      <c r="C9" s="52" t="inlineStr">
        <is>
          <t>Shear Strength/Stiffness</t>
        </is>
      </c>
      <c r="AB9" s="52" t="inlineStr">
        <is>
          <t>Standard Deviations</t>
        </is>
      </c>
      <c r="AH9" s="52" t="inlineStr">
        <is>
          <t>Seepage</t>
        </is>
      </c>
    </row>
    <row r="10" ht="18" customHeight="1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3" t="inlineStr">
        <is>
          <t>ssr_zone</t>
        </is>
      </c>
      <c r="P10" s="44" t="inlineStr">
        <is>
          <t>u</t>
        </is>
      </c>
      <c r="Q10" s="44" t="inlineStr">
        <is>
          <t>ru</t>
        </is>
      </c>
      <c r="R10" s="44" t="inlineStr">
        <is>
          <t>phi_b</t>
        </is>
      </c>
      <c r="S10" s="44" t="inlineStr">
        <is>
          <t>s_cap</t>
        </is>
      </c>
      <c r="T10" s="44" t="inlineStr">
        <is>
          <t>pow_a</t>
        </is>
      </c>
      <c r="U10" s="44" t="inlineStr">
        <is>
          <t>pow_b</t>
        </is>
      </c>
      <c r="V10" s="44" t="inlineStr">
        <is>
          <t>pow_c</t>
        </is>
      </c>
      <c r="W10" s="44" t="inlineStr">
        <is>
          <t>pow_d</t>
        </is>
      </c>
      <c r="X10" s="44" t="inlineStr">
        <is>
          <t>hb_sci</t>
        </is>
      </c>
      <c r="Y10" s="44" t="inlineStr">
        <is>
          <t>hb_gsi</t>
        </is>
      </c>
      <c r="Z10" s="44" t="inlineStr">
        <is>
          <t>hb_mi</t>
        </is>
      </c>
      <c r="AA10" s="44" t="inlineStr">
        <is>
          <t>hb_d</t>
        </is>
      </c>
      <c r="AB10" s="46" t="inlineStr">
        <is>
          <t>s(g)</t>
        </is>
      </c>
      <c r="AC10" s="46" t="inlineStr">
        <is>
          <t>s(c)</t>
        </is>
      </c>
      <c r="AD10" s="47" t="inlineStr">
        <is>
          <t>s(f)</t>
        </is>
      </c>
      <c r="AE10" s="46" t="inlineStr">
        <is>
          <t>s(c/p)</t>
        </is>
      </c>
      <c r="AF10" s="46" t="inlineStr">
        <is>
          <t>s(d)</t>
        </is>
      </c>
      <c r="AG10" s="47" t="inlineStr">
        <is>
          <t>s(psi)</t>
        </is>
      </c>
      <c r="AH10" s="23" t="inlineStr">
        <is>
          <t>k1</t>
        </is>
      </c>
      <c r="AI10" s="23" t="inlineStr">
        <is>
          <t>k2</t>
        </is>
      </c>
      <c r="AJ10" s="23" t="inlineStr">
        <is>
          <t>alpha</t>
        </is>
      </c>
      <c r="AK10" s="23" t="inlineStr">
        <is>
          <t>unsat</t>
        </is>
      </c>
      <c r="AL10" s="23" t="inlineStr">
        <is>
          <t>kr0</t>
        </is>
      </c>
      <c r="AM10" s="23" t="inlineStr">
        <is>
          <t>h0</t>
        </is>
      </c>
      <c r="AN10" s="23" t="inlineStr">
        <is>
          <t>a</t>
        </is>
      </c>
      <c r="AO10" s="23" t="inlineStr">
        <is>
          <t>n</t>
        </is>
      </c>
      <c r="AP10" s="23" t="inlineStr">
        <is>
          <t>Ss</t>
        </is>
      </c>
      <c r="AQ10" s="23" t="inlineStr">
        <is>
          <t>Sy</t>
        </is>
      </c>
    </row>
    <row r="11">
      <c r="A11" s="3" t="n">
        <v>1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18" t="n"/>
      <c r="AO12" s="19" t="n"/>
      <c r="AP12" s="19" t="n"/>
      <c r="AQ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18" t="n"/>
      <c r="AO13" s="19" t="n"/>
      <c r="AP13" s="19" t="n"/>
      <c r="AQ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</row>
    <row r="26"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</row>
    <row r="27"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</row>
    <row r="28"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</row>
    <row r="29"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</row>
    <row r="30"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</row>
    <row r="31"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</row>
    <row r="32"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</row>
    <row r="33"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</row>
    <row r="34"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</row>
    <row r="35"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</row>
    <row r="36"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</row>
    <row r="37"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</row>
    <row r="38"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</row>
    <row r="39"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</row>
    <row r="40"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</row>
    <row r="41"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</row>
    <row r="42"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</row>
    <row r="43"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</row>
    <row r="44"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</row>
    <row r="45"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</row>
    <row r="46"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</row>
    <row r="47"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</row>
    <row r="48"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</row>
    <row r="49"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</row>
    <row r="50"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</row>
    <row r="51"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</row>
    <row r="52"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</row>
  </sheetData>
  <mergeCells count="3">
    <mergeCell ref="C9:AA9"/>
    <mergeCell ref="AB9:AG9"/>
    <mergeCell ref="AH9:AQ9"/>
  </mergeCells>
  <conditionalFormatting sqref="F11:K52 AC11:AG52">
    <cfRule type="expression" priority="6" dxfId="3">
      <formula>$E11="hb"</formula>
    </cfRule>
    <cfRule type="expression" priority="7" dxfId="3">
      <formula>$E11="pow"</formula>
    </cfRule>
  </conditionalFormatting>
  <conditionalFormatting sqref="F11:L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O11:S52">
    <cfRule type="expression" priority="4" dxfId="3">
      <formula>$E11="elastic"</formula>
    </cfRule>
  </conditionalFormatting>
  <conditionalFormatting sqref="Q11:Q52">
    <cfRule type="expression" priority="13" dxfId="3">
      <formula>AND($P11&lt;&gt;"",$P11&lt;&gt;"ru")</formula>
    </cfRule>
  </conditionalFormatting>
  <conditionalFormatting sqref="R11:S52">
    <cfRule type="expression" priority="3" dxfId="3">
      <formula>$E11="cp"</formula>
    </cfRule>
    <cfRule type="expression" priority="5" dxfId="3">
      <formula>AND($P11&lt;&gt;"",$P11&lt;&gt;"piezo",$P11&lt;&gt;"seep")</formula>
    </cfRule>
  </conditionalFormatting>
  <conditionalFormatting sqref="T11:W52">
    <cfRule type="expression" priority="11" dxfId="3">
      <formula>AND($E11&lt;&gt;"",$E11&lt;&gt;"pow")</formula>
    </cfRule>
  </conditionalFormatting>
  <conditionalFormatting sqref="X11:AA52">
    <cfRule type="expression" priority="12" dxfId="3">
      <formula>AND($E11&lt;&gt;"",$E11&lt;&gt;"hb")</formula>
    </cfRule>
  </conditionalFormatting>
  <conditionalFormatting sqref="AC11:AG52">
    <cfRule type="expression" priority="21" dxfId="3">
      <formula>$E11="elastic"</formula>
    </cfRule>
  </conditionalFormatting>
  <conditionalFormatting sqref="AD11:AD52">
    <cfRule type="expression" priority="14" dxfId="3">
      <formula>$E11="cp"</formula>
    </cfRule>
  </conditionalFormatting>
  <conditionalFormatting sqref="AE11:AE52">
    <cfRule type="expression" priority="15" dxfId="3">
      <formula>$E11="mc"</formula>
    </cfRule>
  </conditionalFormatting>
  <conditionalFormatting sqref="AF11:AG52">
    <cfRule type="expression" priority="16" dxfId="3">
      <formula>$E11="cp"</formula>
    </cfRule>
  </conditionalFormatting>
  <conditionalFormatting sqref="AL11:AM52">
    <cfRule type="expression" priority="17" dxfId="3">
      <formula>OR($AK11="vg",$AK11="gard")</formula>
    </cfRule>
  </conditionalFormatting>
  <conditionalFormatting sqref="AN11:AO52">
    <cfRule type="expression" priority="1" dxfId="3">
      <formula>$AK11="lf"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K11:AK102" showDropDown="0" showInputMessage="0" showErrorMessage="0" allowBlank="1" type="list">
      <formula1>$AK$3:$AK$5</formula1>
    </dataValidation>
    <dataValidation sqref="P11:P52" showDropDown="0" showInputMessage="0" showErrorMessage="0" allowBlank="1" type="list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7"/>
  <sheetViews>
    <sheetView showGridLines="0" zoomScale="140" zoomScaleNormal="140" workbookViewId="0">
      <selection activeCell="A8" sqref="A8"/>
    </sheetView>
  </sheetViews>
  <sheetFormatPr baseColWidth="10" defaultRowHeight="16"/>
  <cols>
    <col width="10.83203125" customWidth="1" style="1" min="1" max="2"/>
    <col width="3.83203125" customWidth="1" style="1" min="3" max="3"/>
    <col width="10.83203125" customWidth="1" style="1" min="4" max="5"/>
    <col width="3.83203125" customWidth="1" style="1" min="6" max="6"/>
    <col width="10.83203125" customWidth="1" style="1" min="7" max="8"/>
    <col width="3.83203125" customWidth="1" style="1" min="9" max="9"/>
    <col width="10.83203125" customWidth="1" style="1" min="10" max="11"/>
    <col width="3.83203125" customWidth="1" style="1" min="12" max="12"/>
    <col width="10.83203125" customWidth="1" style="1" min="13" max="14"/>
    <col width="3.83203125" customWidth="1" min="15" max="15"/>
    <col width="3.83203125" customWidth="1" min="18" max="18"/>
    <col width="3.83203125" customWidth="1" min="21" max="21"/>
    <col width="3.83203125" customWidth="1" min="24" max="24"/>
    <col width="3.83203125" customWidth="1" min="27" max="27"/>
    <col width="3.83203125" customWidth="1" min="30" max="30"/>
    <col width="3.83203125" customWidth="1" min="33" max="33"/>
    <col width="3.83203125" customWidth="1" min="36" max="36"/>
    <col width="3.83203125" customWidth="1" min="39" max="39"/>
    <col width="3.83203125" customWidth="1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1" t="n"/>
      <c r="S4" s="55" t="inlineStr">
        <is>
          <t>Profile Line #7</t>
        </is>
      </c>
      <c r="U4" s="1" t="n"/>
      <c r="V4" s="55" t="inlineStr">
        <is>
          <t>Profile Line #8</t>
        </is>
      </c>
      <c r="X4" s="1" t="n"/>
      <c r="Y4" s="55" t="inlineStr">
        <is>
          <t>Profile Line #9</t>
        </is>
      </c>
      <c r="AA4" s="1" t="n"/>
      <c r="AB4" s="55" t="inlineStr">
        <is>
          <t>Profile Line #10</t>
        </is>
      </c>
      <c r="AE4" s="55" t="inlineStr">
        <is>
          <t>Profile Line #11</t>
        </is>
      </c>
      <c r="AG4" s="1" t="n"/>
      <c r="AH4" s="55" t="inlineStr">
        <is>
          <t>Profile Line #12</t>
        </is>
      </c>
      <c r="AJ4" s="1" t="n"/>
      <c r="AK4" s="55" t="inlineStr">
        <is>
          <t>Profile Line #13</t>
        </is>
      </c>
      <c r="AM4" s="1" t="n"/>
      <c r="AN4" s="55" t="inlineStr">
        <is>
          <t>Profile Line #14</t>
        </is>
      </c>
      <c r="AP4" s="1" t="n"/>
      <c r="AQ4" s="55" t="inlineStr">
        <is>
          <t>Profile Line #15</t>
        </is>
      </c>
    </row>
    <row r="5">
      <c r="A5" s="36" t="inlineStr">
        <is>
          <t>Mat ID:</t>
        </is>
      </c>
      <c r="B5" s="37" t="n">
        <v>1</v>
      </c>
      <c r="D5" s="36" t="inlineStr">
        <is>
          <t>Mat ID:</t>
        </is>
      </c>
      <c r="E5" s="37" t="n">
        <v>2</v>
      </c>
      <c r="G5" s="36" t="inlineStr">
        <is>
          <t>Mat ID:</t>
        </is>
      </c>
      <c r="H5" s="37" t="n">
        <v>3</v>
      </c>
      <c r="J5" s="36" t="inlineStr">
        <is>
          <t>Mat ID:</t>
        </is>
      </c>
      <c r="K5" s="37" t="n">
        <v>4</v>
      </c>
      <c r="M5" s="36" t="inlineStr">
        <is>
          <t>Mat ID:</t>
        </is>
      </c>
      <c r="N5" s="37" t="n">
        <v>5</v>
      </c>
      <c r="P5" s="36" t="inlineStr">
        <is>
          <t>Mat ID:</t>
        </is>
      </c>
      <c r="Q5" s="37" t="n">
        <v>6</v>
      </c>
      <c r="R5" s="1" t="n"/>
      <c r="S5" s="36" t="inlineStr">
        <is>
          <t>Mat ID:</t>
        </is>
      </c>
      <c r="T5" s="37" t="n">
        <v>7</v>
      </c>
      <c r="U5" s="1" t="n"/>
      <c r="V5" s="36" t="inlineStr">
        <is>
          <t>Mat ID:</t>
        </is>
      </c>
      <c r="W5" s="37" t="n">
        <v>8</v>
      </c>
      <c r="X5" s="1" t="n"/>
      <c r="Y5" s="36" t="inlineStr">
        <is>
          <t>Mat ID:</t>
        </is>
      </c>
      <c r="Z5" s="37" t="n">
        <v>9</v>
      </c>
      <c r="AA5" s="1" t="n"/>
      <c r="AB5" s="36" t="inlineStr">
        <is>
          <t>Mat ID:</t>
        </is>
      </c>
      <c r="AC5" s="37" t="n">
        <v>10</v>
      </c>
      <c r="AE5" s="36" t="inlineStr">
        <is>
          <t>Mat ID:</t>
        </is>
      </c>
      <c r="AF5" s="37" t="n">
        <v>11</v>
      </c>
      <c r="AG5" s="1" t="n"/>
      <c r="AH5" s="36" t="inlineStr">
        <is>
          <t>Mat ID:</t>
        </is>
      </c>
      <c r="AI5" s="37" t="n">
        <v>12</v>
      </c>
      <c r="AJ5" s="1" t="n"/>
      <c r="AK5" s="36" t="inlineStr">
        <is>
          <t>Mat ID:</t>
        </is>
      </c>
      <c r="AL5" s="37" t="n">
        <v>13</v>
      </c>
      <c r="AM5" s="1" t="n"/>
      <c r="AN5" s="36" t="inlineStr">
        <is>
          <t>Mat ID:</t>
        </is>
      </c>
      <c r="AO5" s="37" t="n">
        <v>14</v>
      </c>
      <c r="AP5" s="1" t="n"/>
      <c r="AQ5" s="36" t="inlineStr">
        <is>
          <t>Mat ID:</t>
        </is>
      </c>
      <c r="AR5" s="37" t="n">
        <v>15</v>
      </c>
    </row>
    <row r="6">
      <c r="A6" s="36">
        <f>_xlfn.XLOOKUP(B5,mat!$A:$A, mat!$B:$B,"") &amp; ""</f>
        <v/>
      </c>
      <c r="B6" s="64" t="n"/>
      <c r="D6" s="36">
        <f>_xlfn.XLOOKUP(E5,mat!$A:$A, mat!$B:$B,"") &amp; ""</f>
        <v/>
      </c>
      <c r="E6" s="64" t="n"/>
      <c r="G6" s="36">
        <f>_xlfn.XLOOKUP(H5,mat!$A:$A, mat!$B:$B,"") &amp; ""</f>
        <v/>
      </c>
      <c r="H6" s="64" t="n"/>
      <c r="J6" s="36">
        <f>_xlfn.XLOOKUP(K5,mat!$A:$A, mat!$B:$B,"") &amp; ""</f>
        <v/>
      </c>
      <c r="K6" s="64" t="n"/>
      <c r="M6" s="36">
        <f>_xlfn.XLOOKUP(N5,mat!$A:$A, mat!$B:$B,"") &amp; ""</f>
        <v/>
      </c>
      <c r="N6" s="64" t="n"/>
      <c r="P6" s="36">
        <f>_xlfn.XLOOKUP(Q5,mat!$A:$A, mat!$B:$B,"") &amp; ""</f>
        <v/>
      </c>
      <c r="Q6" s="64" t="n"/>
      <c r="R6" s="1" t="n"/>
      <c r="S6" s="36">
        <f>_xlfn.XLOOKUP(T5,mat!$A:$A, mat!$B:$B,"") &amp; ""</f>
        <v/>
      </c>
      <c r="T6" s="64" t="n"/>
      <c r="U6" s="1" t="n"/>
      <c r="V6" s="36">
        <f>_xlfn.XLOOKUP(W5,mat!$A:$A, mat!$B:$B,"") &amp; ""</f>
        <v/>
      </c>
      <c r="W6" s="64" t="n"/>
      <c r="X6" s="1" t="n"/>
      <c r="Y6" s="36">
        <f>_xlfn.XLOOKUP(Z5,mat!$A:$A, mat!$B:$B,"") &amp; ""</f>
        <v/>
      </c>
      <c r="Z6" s="64" t="n"/>
      <c r="AA6" s="1" t="n"/>
      <c r="AB6" s="36">
        <f>_xlfn.XLOOKUP(AC5,mat!$A:$A, mat!$B:$B,"") &amp; ""</f>
        <v/>
      </c>
      <c r="AC6" s="64" t="n"/>
      <c r="AE6" s="36">
        <f>_xlfn.XLOOKUP(AF5,mat!$A:$A, mat!$B:$B,"") &amp; ""</f>
        <v/>
      </c>
      <c r="AF6" s="64" t="n"/>
      <c r="AG6" s="1" t="n"/>
      <c r="AH6" s="36">
        <f>_xlfn.XLOOKUP(AI5,mat!$A:$A, mat!$B:$B,"") &amp; ""</f>
        <v/>
      </c>
      <c r="AI6" s="64" t="n"/>
      <c r="AJ6" s="1" t="n"/>
      <c r="AK6" s="36">
        <f>_xlfn.XLOOKUP(AL5,mat!$A:$A, mat!$B:$B,"") &amp; ""</f>
        <v/>
      </c>
      <c r="AL6" s="64" t="n"/>
      <c r="AM6" s="1" t="n"/>
      <c r="AN6" s="36">
        <f>_xlfn.XLOOKUP(AO5,mat!$A:$A, mat!$B:$B,"") &amp; ""</f>
        <v/>
      </c>
      <c r="AO6" s="64" t="n"/>
      <c r="AP6" s="1" t="n"/>
      <c r="AQ6" s="36">
        <f>_xlfn.XLOOKUP(AR5,mat!$A:$A, mat!$B:$B,"") &amp; ""</f>
        <v/>
      </c>
      <c r="AR6" s="64" t="n"/>
    </row>
    <row r="7">
      <c r="A7" s="2" t="inlineStr">
        <is>
          <t>x</t>
        </is>
      </c>
      <c r="B7" s="2" t="inlineStr">
        <is>
          <t>y</t>
        </is>
      </c>
      <c r="D7" s="2" t="inlineStr">
        <is>
          <t>x</t>
        </is>
      </c>
      <c r="E7" s="2" t="inlineStr">
        <is>
          <t>y</t>
        </is>
      </c>
      <c r="G7" s="2" t="inlineStr">
        <is>
          <t>x</t>
        </is>
      </c>
      <c r="H7" s="2" t="inlineStr">
        <is>
          <t>y</t>
        </is>
      </c>
      <c r="J7" s="2" t="inlineStr">
        <is>
          <t>x</t>
        </is>
      </c>
      <c r="K7" s="2" t="inlineStr">
        <is>
          <t>y</t>
        </is>
      </c>
      <c r="M7" s="2" t="inlineStr">
        <is>
          <t>x</t>
        </is>
      </c>
      <c r="N7" s="2" t="inlineStr">
        <is>
          <t>y</t>
        </is>
      </c>
      <c r="P7" s="2" t="inlineStr">
        <is>
          <t>x</t>
        </is>
      </c>
      <c r="Q7" s="2" t="inlineStr">
        <is>
          <t>y</t>
        </is>
      </c>
      <c r="R7" s="1" t="n"/>
      <c r="S7" s="2" t="inlineStr">
        <is>
          <t>x</t>
        </is>
      </c>
      <c r="T7" s="2" t="inlineStr">
        <is>
          <t>y</t>
        </is>
      </c>
      <c r="U7" s="1" t="n"/>
      <c r="V7" s="2" t="inlineStr">
        <is>
          <t>x</t>
        </is>
      </c>
      <c r="W7" s="2" t="inlineStr">
        <is>
          <t>y</t>
        </is>
      </c>
      <c r="X7" s="1" t="n"/>
      <c r="Y7" s="2" t="inlineStr">
        <is>
          <t>x</t>
        </is>
      </c>
      <c r="Z7" s="2" t="inlineStr">
        <is>
          <t>y</t>
        </is>
      </c>
      <c r="AA7" s="1" t="n"/>
      <c r="AB7" s="2" t="inlineStr">
        <is>
          <t>x</t>
        </is>
      </c>
      <c r="AC7" s="2" t="inlineStr">
        <is>
          <t>y</t>
        </is>
      </c>
      <c r="AE7" s="2" t="inlineStr">
        <is>
          <t>x</t>
        </is>
      </c>
      <c r="AF7" s="2" t="inlineStr">
        <is>
          <t>y</t>
        </is>
      </c>
      <c r="AG7" s="1" t="n"/>
      <c r="AH7" s="2" t="inlineStr">
        <is>
          <t>x</t>
        </is>
      </c>
      <c r="AI7" s="2" t="inlineStr">
        <is>
          <t>y</t>
        </is>
      </c>
      <c r="AJ7" s="1" t="n"/>
      <c r="AK7" s="2" t="inlineStr">
        <is>
          <t>x</t>
        </is>
      </c>
      <c r="AL7" s="2" t="inlineStr">
        <is>
          <t>y</t>
        </is>
      </c>
      <c r="AM7" s="1" t="n"/>
      <c r="AN7" s="2" t="inlineStr">
        <is>
          <t>x</t>
        </is>
      </c>
      <c r="AO7" s="2" t="inlineStr">
        <is>
          <t>y</t>
        </is>
      </c>
      <c r="AP7" s="1" t="n"/>
      <c r="AQ7" s="2" t="inlineStr">
        <is>
          <t>x</t>
        </is>
      </c>
      <c r="AR7" s="2" t="inlineStr">
        <is>
          <t>y</t>
        </is>
      </c>
    </row>
    <row r="8">
      <c r="A8" s="3" t="n"/>
      <c r="B8" s="3" t="n"/>
      <c r="D8" s="3" t="n"/>
      <c r="E8" s="3" t="n"/>
      <c r="G8" s="3" t="n"/>
      <c r="H8" s="3" t="n"/>
      <c r="J8" s="3" t="n"/>
      <c r="K8" s="3" t="n"/>
      <c r="M8" s="3" t="n"/>
      <c r="N8" s="3" t="n"/>
      <c r="P8" s="3" t="n"/>
      <c r="Q8" s="3" t="n"/>
      <c r="R8" s="1" t="n"/>
      <c r="S8" s="16" t="n"/>
      <c r="T8" s="17" t="n"/>
      <c r="U8" s="1" t="n"/>
      <c r="V8" s="16" t="n"/>
      <c r="W8" s="17" t="n"/>
      <c r="X8" s="1" t="n"/>
      <c r="Y8" s="16" t="n"/>
      <c r="Z8" s="17" t="n"/>
      <c r="AA8" s="1" t="n"/>
      <c r="AB8" s="16" t="n"/>
      <c r="AC8" s="17" t="n"/>
      <c r="AE8" s="3" t="n"/>
      <c r="AF8" s="3" t="n"/>
      <c r="AG8" s="1" t="n"/>
      <c r="AH8" s="16" t="n"/>
      <c r="AI8" s="17" t="n"/>
      <c r="AJ8" s="1" t="n"/>
      <c r="AK8" s="16" t="n"/>
      <c r="AL8" s="17" t="n"/>
      <c r="AM8" s="1" t="n"/>
      <c r="AN8" s="16" t="n"/>
      <c r="AO8" s="17" t="n"/>
      <c r="AP8" s="1" t="n"/>
      <c r="AQ8" s="16" t="n"/>
      <c r="AR8" s="17" t="n"/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1" t="n"/>
      <c r="S9" s="18" t="n"/>
      <c r="T9" s="19" t="n"/>
      <c r="U9" s="1" t="n"/>
      <c r="V9" s="18" t="n"/>
      <c r="W9" s="19" t="n"/>
      <c r="X9" s="1" t="n"/>
      <c r="Y9" s="18" t="n"/>
      <c r="Z9" s="19" t="n"/>
      <c r="AA9" s="1" t="n"/>
      <c r="AB9" s="18" t="n"/>
      <c r="AC9" s="19" t="n"/>
      <c r="AE9" s="3" t="n"/>
      <c r="AF9" s="3" t="n"/>
      <c r="AG9" s="1" t="n"/>
      <c r="AH9" s="18" t="n"/>
      <c r="AI9" s="19" t="n"/>
      <c r="AJ9" s="1" t="n"/>
      <c r="AK9" s="18" t="n"/>
      <c r="AL9" s="19" t="n"/>
      <c r="AM9" s="1" t="n"/>
      <c r="AN9" s="18" t="n"/>
      <c r="AO9" s="19" t="n"/>
      <c r="AP9" s="1" t="n"/>
      <c r="AQ9" s="18" t="n"/>
      <c r="AR9" s="19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1" t="n"/>
      <c r="S10" s="18" t="n"/>
      <c r="T10" s="19" t="n"/>
      <c r="U10" s="1" t="n"/>
      <c r="V10" s="18" t="n"/>
      <c r="W10" s="19" t="n"/>
      <c r="X10" s="1" t="n"/>
      <c r="Y10" s="18" t="n"/>
      <c r="Z10" s="19" t="n"/>
      <c r="AA10" s="1" t="n"/>
      <c r="AB10" s="18" t="n"/>
      <c r="AC10" s="19" t="n"/>
      <c r="AE10" s="3" t="n"/>
      <c r="AF10" s="3" t="n"/>
      <c r="AG10" s="1" t="n"/>
      <c r="AH10" s="18" t="n"/>
      <c r="AI10" s="19" t="n"/>
      <c r="AJ10" s="1" t="n"/>
      <c r="AK10" s="18" t="n"/>
      <c r="AL10" s="19" t="n"/>
      <c r="AM10" s="1" t="n"/>
      <c r="AN10" s="18" t="n"/>
      <c r="AO10" s="19" t="n"/>
      <c r="AP10" s="1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1" t="n"/>
      <c r="S11" s="18" t="n"/>
      <c r="T11" s="19" t="n"/>
      <c r="U11" s="1" t="n"/>
      <c r="V11" s="16" t="n"/>
      <c r="W11" s="17" t="n"/>
      <c r="X11" s="1" t="n"/>
      <c r="Y11" s="18" t="n"/>
      <c r="Z11" s="19" t="n"/>
      <c r="AA11" s="1" t="n"/>
      <c r="AB11" s="18" t="n"/>
      <c r="AC11" s="19" t="n"/>
      <c r="AE11" s="3" t="n"/>
      <c r="AF11" s="3" t="n"/>
      <c r="AG11" s="1" t="n"/>
      <c r="AH11" s="18" t="n"/>
      <c r="AI11" s="19" t="n"/>
      <c r="AJ11" s="1" t="n"/>
      <c r="AK11" s="18" t="n"/>
      <c r="AL11" s="19" t="n"/>
      <c r="AM11" s="1" t="n"/>
      <c r="AN11" s="18" t="n"/>
      <c r="AO11" s="19" t="n"/>
      <c r="AP11" s="1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1" t="n"/>
      <c r="S12" s="3" t="n"/>
      <c r="T12" s="3" t="n"/>
      <c r="U12" s="1" t="n"/>
      <c r="V12" s="3" t="n"/>
      <c r="W12" s="3" t="n"/>
      <c r="X12" s="1" t="n"/>
      <c r="Y12" s="3" t="n"/>
      <c r="Z12" s="3" t="n"/>
      <c r="AA12" s="1" t="n"/>
      <c r="AB12" s="3" t="n"/>
      <c r="AC12" s="3" t="n"/>
      <c r="AE12" s="3" t="n"/>
      <c r="AF12" s="3" t="n"/>
      <c r="AG12" s="1" t="n"/>
      <c r="AH12" s="3" t="n"/>
      <c r="AI12" s="3" t="n"/>
      <c r="AJ12" s="1" t="n"/>
      <c r="AK12" s="3" t="n"/>
      <c r="AL12" s="3" t="n"/>
      <c r="AM12" s="1" t="n"/>
      <c r="AN12" s="3" t="n"/>
      <c r="AO12" s="3" t="n"/>
      <c r="AP12" s="1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1" t="n"/>
      <c r="S13" s="3" t="n"/>
      <c r="T13" s="3" t="n"/>
      <c r="U13" s="1" t="n"/>
      <c r="V13" s="3" t="n"/>
      <c r="W13" s="3" t="n"/>
      <c r="X13" s="1" t="n"/>
      <c r="Y13" s="3" t="n"/>
      <c r="Z13" s="3" t="n"/>
      <c r="AA13" s="1" t="n"/>
      <c r="AB13" s="3" t="n"/>
      <c r="AC13" s="3" t="n"/>
      <c r="AE13" s="3" t="n"/>
      <c r="AF13" s="3" t="n"/>
      <c r="AG13" s="1" t="n"/>
      <c r="AH13" s="3" t="n"/>
      <c r="AI13" s="3" t="n"/>
      <c r="AJ13" s="1" t="n"/>
      <c r="AK13" s="3" t="n"/>
      <c r="AL13" s="3" t="n"/>
      <c r="AM13" s="1" t="n"/>
      <c r="AN13" s="3" t="n"/>
      <c r="AO13" s="3" t="n"/>
      <c r="AP13" s="1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1" t="n"/>
      <c r="S14" s="3" t="n"/>
      <c r="T14" s="3" t="n"/>
      <c r="U14" s="1" t="n"/>
      <c r="V14" s="3" t="n"/>
      <c r="W14" s="3" t="n"/>
      <c r="X14" s="1" t="n"/>
      <c r="Y14" s="3" t="n"/>
      <c r="Z14" s="3" t="n"/>
      <c r="AA14" s="1" t="n"/>
      <c r="AB14" s="3" t="n"/>
      <c r="AC14" s="3" t="n"/>
      <c r="AE14" s="3" t="n"/>
      <c r="AF14" s="3" t="n"/>
      <c r="AG14" s="1" t="n"/>
      <c r="AH14" s="3" t="n"/>
      <c r="AI14" s="3" t="n"/>
      <c r="AJ14" s="1" t="n"/>
      <c r="AK14" s="3" t="n"/>
      <c r="AL14" s="3" t="n"/>
      <c r="AM14" s="1" t="n"/>
      <c r="AN14" s="3" t="n"/>
      <c r="AO14" s="3" t="n"/>
      <c r="AP14" s="1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1" t="n"/>
      <c r="S15" s="3" t="n"/>
      <c r="T15" s="3" t="n"/>
      <c r="U15" s="1" t="n"/>
      <c r="V15" s="3" t="n"/>
      <c r="W15" s="3" t="n"/>
      <c r="X15" s="1" t="n"/>
      <c r="Y15" s="3" t="n"/>
      <c r="Z15" s="3" t="n"/>
      <c r="AA15" s="1" t="n"/>
      <c r="AB15" s="3" t="n"/>
      <c r="AC15" s="3" t="n"/>
      <c r="AE15" s="3" t="n"/>
      <c r="AF15" s="3" t="n"/>
      <c r="AG15" s="1" t="n"/>
      <c r="AH15" s="3" t="n"/>
      <c r="AI15" s="3" t="n"/>
      <c r="AJ15" s="1" t="n"/>
      <c r="AK15" s="3" t="n"/>
      <c r="AL15" s="3" t="n"/>
      <c r="AM15" s="1" t="n"/>
      <c r="AN15" s="3" t="n"/>
      <c r="AO15" s="3" t="n"/>
      <c r="AP15" s="1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1" t="n"/>
      <c r="S16" s="3" t="n"/>
      <c r="T16" s="3" t="n"/>
      <c r="U16" s="1" t="n"/>
      <c r="V16" s="3" t="n"/>
      <c r="W16" s="3" t="n"/>
      <c r="X16" s="1" t="n"/>
      <c r="Y16" s="3" t="n"/>
      <c r="Z16" s="3" t="n"/>
      <c r="AA16" s="1" t="n"/>
      <c r="AB16" s="3" t="n"/>
      <c r="AC16" s="3" t="n"/>
      <c r="AE16" s="3" t="n"/>
      <c r="AF16" s="3" t="n"/>
      <c r="AG16" s="1" t="n"/>
      <c r="AH16" s="3" t="n"/>
      <c r="AI16" s="3" t="n"/>
      <c r="AJ16" s="1" t="n"/>
      <c r="AK16" s="3" t="n"/>
      <c r="AL16" s="3" t="n"/>
      <c r="AM16" s="1" t="n"/>
      <c r="AN16" s="3" t="n"/>
      <c r="AO16" s="3" t="n"/>
      <c r="AP16" s="1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1" t="n"/>
      <c r="S17" s="3" t="n"/>
      <c r="T17" s="3" t="n"/>
      <c r="U17" s="1" t="n"/>
      <c r="V17" s="3" t="n"/>
      <c r="W17" s="3" t="n"/>
      <c r="X17" s="1" t="n"/>
      <c r="Y17" s="3" t="n"/>
      <c r="Z17" s="3" t="n"/>
      <c r="AA17" s="1" t="n"/>
      <c r="AB17" s="3" t="n"/>
      <c r="AC17" s="3" t="n"/>
      <c r="AE17" s="3" t="n"/>
      <c r="AF17" s="3" t="n"/>
      <c r="AG17" s="1" t="n"/>
      <c r="AH17" s="3" t="n"/>
      <c r="AI17" s="3" t="n"/>
      <c r="AJ17" s="1" t="n"/>
      <c r="AK17" s="3" t="n"/>
      <c r="AL17" s="3" t="n"/>
      <c r="AM17" s="1" t="n"/>
      <c r="AN17" s="3" t="n"/>
      <c r="AO17" s="3" t="n"/>
      <c r="AP17" s="1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1" t="n"/>
      <c r="S18" s="3" t="n"/>
      <c r="T18" s="3" t="n"/>
      <c r="U18" s="1" t="n"/>
      <c r="V18" s="3" t="n"/>
      <c r="W18" s="3" t="n"/>
      <c r="X18" s="1" t="n"/>
      <c r="Y18" s="3" t="n"/>
      <c r="Z18" s="3" t="n"/>
      <c r="AA18" s="1" t="n"/>
      <c r="AB18" s="3" t="n"/>
      <c r="AC18" s="3" t="n"/>
      <c r="AE18" s="3" t="n"/>
      <c r="AF18" s="3" t="n"/>
      <c r="AG18" s="1" t="n"/>
      <c r="AH18" s="3" t="n"/>
      <c r="AI18" s="3" t="n"/>
      <c r="AJ18" s="1" t="n"/>
      <c r="AK18" s="3" t="n"/>
      <c r="AL18" s="3" t="n"/>
      <c r="AM18" s="1" t="n"/>
      <c r="AN18" s="3" t="n"/>
      <c r="AO18" s="3" t="n"/>
      <c r="AP18" s="1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1" t="n"/>
      <c r="S19" s="3" t="n"/>
      <c r="T19" s="3" t="n"/>
      <c r="U19" s="1" t="n"/>
      <c r="V19" s="3" t="n"/>
      <c r="W19" s="3" t="n"/>
      <c r="X19" s="1" t="n"/>
      <c r="Y19" s="3" t="n"/>
      <c r="Z19" s="3" t="n"/>
      <c r="AA19" s="1" t="n"/>
      <c r="AB19" s="3" t="n"/>
      <c r="AC19" s="3" t="n"/>
      <c r="AE19" s="3" t="n"/>
      <c r="AF19" s="3" t="n"/>
      <c r="AG19" s="1" t="n"/>
      <c r="AH19" s="3" t="n"/>
      <c r="AI19" s="3" t="n"/>
      <c r="AJ19" s="1" t="n"/>
      <c r="AK19" s="3" t="n"/>
      <c r="AL19" s="3" t="n"/>
      <c r="AM19" s="1" t="n"/>
      <c r="AN19" s="3" t="n"/>
      <c r="AO19" s="3" t="n"/>
      <c r="AP19" s="1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1" t="n"/>
      <c r="S20" s="3" t="n"/>
      <c r="T20" s="3" t="n"/>
      <c r="U20" s="1" t="n"/>
      <c r="V20" s="3" t="n"/>
      <c r="W20" s="3" t="n"/>
      <c r="X20" s="1" t="n"/>
      <c r="Y20" s="3" t="n"/>
      <c r="Z20" s="3" t="n"/>
      <c r="AA20" s="1" t="n"/>
      <c r="AB20" s="3" t="n"/>
      <c r="AC20" s="3" t="n"/>
      <c r="AE20" s="3" t="n"/>
      <c r="AF20" s="3" t="n"/>
      <c r="AG20" s="1" t="n"/>
      <c r="AH20" s="3" t="n"/>
      <c r="AI20" s="3" t="n"/>
      <c r="AJ20" s="1" t="n"/>
      <c r="AK20" s="3" t="n"/>
      <c r="AL20" s="3" t="n"/>
      <c r="AM20" s="1" t="n"/>
      <c r="AN20" s="3" t="n"/>
      <c r="AO20" s="3" t="n"/>
      <c r="AP20" s="1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1" t="n"/>
      <c r="S21" s="3" t="n"/>
      <c r="T21" s="3" t="n"/>
      <c r="U21" s="1" t="n"/>
      <c r="V21" s="3" t="n"/>
      <c r="W21" s="3" t="n"/>
      <c r="X21" s="1" t="n"/>
      <c r="Y21" s="3" t="n"/>
      <c r="Z21" s="3" t="n"/>
      <c r="AA21" s="1" t="n"/>
      <c r="AB21" s="3" t="n"/>
      <c r="AC21" s="3" t="n"/>
      <c r="AE21" s="3" t="n"/>
      <c r="AF21" s="3" t="n"/>
      <c r="AG21" s="1" t="n"/>
      <c r="AH21" s="3" t="n"/>
      <c r="AI21" s="3" t="n"/>
      <c r="AJ21" s="1" t="n"/>
      <c r="AK21" s="3" t="n"/>
      <c r="AL21" s="3" t="n"/>
      <c r="AM21" s="1" t="n"/>
      <c r="AN21" s="3" t="n"/>
      <c r="AO21" s="3" t="n"/>
      <c r="AP21" s="1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1" t="n"/>
      <c r="S22" s="3" t="n"/>
      <c r="T22" s="3" t="n"/>
      <c r="U22" s="1" t="n"/>
      <c r="V22" s="3" t="n"/>
      <c r="W22" s="3" t="n"/>
      <c r="X22" s="1" t="n"/>
      <c r="Y22" s="3" t="n"/>
      <c r="Z22" s="3" t="n"/>
      <c r="AA22" s="1" t="n"/>
      <c r="AB22" s="3" t="n"/>
      <c r="AC22" s="3" t="n"/>
      <c r="AE22" s="3" t="n"/>
      <c r="AF22" s="3" t="n"/>
      <c r="AG22" s="1" t="n"/>
      <c r="AH22" s="3" t="n"/>
      <c r="AI22" s="3" t="n"/>
      <c r="AJ22" s="1" t="n"/>
      <c r="AK22" s="3" t="n"/>
      <c r="AL22" s="3" t="n"/>
      <c r="AM22" s="1" t="n"/>
      <c r="AN22" s="3" t="n"/>
      <c r="AO22" s="3" t="n"/>
      <c r="AP22" s="1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1" t="n"/>
      <c r="S23" s="3" t="n"/>
      <c r="T23" s="3" t="n"/>
      <c r="U23" s="1" t="n"/>
      <c r="V23" s="3" t="n"/>
      <c r="W23" s="3" t="n"/>
      <c r="X23" s="1" t="n"/>
      <c r="Y23" s="3" t="n"/>
      <c r="Z23" s="3" t="n"/>
      <c r="AA23" s="1" t="n"/>
      <c r="AB23" s="3" t="n"/>
      <c r="AC23" s="3" t="n"/>
      <c r="AE23" s="3" t="n"/>
      <c r="AF23" s="3" t="n"/>
      <c r="AG23" s="1" t="n"/>
      <c r="AH23" s="3" t="n"/>
      <c r="AI23" s="3" t="n"/>
      <c r="AJ23" s="1" t="n"/>
      <c r="AK23" s="3" t="n"/>
      <c r="AL23" s="3" t="n"/>
      <c r="AM23" s="1" t="n"/>
      <c r="AN23" s="3" t="n"/>
      <c r="AO23" s="3" t="n"/>
      <c r="AP23" s="1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1" t="n"/>
      <c r="S24" s="3" t="n"/>
      <c r="T24" s="3" t="n"/>
      <c r="U24" s="1" t="n"/>
      <c r="V24" s="3" t="n"/>
      <c r="W24" s="3" t="n"/>
      <c r="X24" s="1" t="n"/>
      <c r="Y24" s="3" t="n"/>
      <c r="Z24" s="3" t="n"/>
      <c r="AA24" s="1" t="n"/>
      <c r="AB24" s="3" t="n"/>
      <c r="AC24" s="3" t="n"/>
      <c r="AE24" s="3" t="n"/>
      <c r="AF24" s="3" t="n"/>
      <c r="AG24" s="1" t="n"/>
      <c r="AH24" s="3" t="n"/>
      <c r="AI24" s="3" t="n"/>
      <c r="AJ24" s="1" t="n"/>
      <c r="AK24" s="3" t="n"/>
      <c r="AL24" s="3" t="n"/>
      <c r="AM24" s="1" t="n"/>
      <c r="AN24" s="3" t="n"/>
      <c r="AO24" s="3" t="n"/>
      <c r="AP24" s="1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1" t="n"/>
      <c r="S25" s="3" t="n"/>
      <c r="T25" s="3" t="n"/>
      <c r="U25" s="1" t="n"/>
      <c r="V25" s="3" t="n"/>
      <c r="W25" s="3" t="n"/>
      <c r="X25" s="1" t="n"/>
      <c r="Y25" s="3" t="n"/>
      <c r="Z25" s="3" t="n"/>
      <c r="AA25" s="1" t="n"/>
      <c r="AB25" s="3" t="n"/>
      <c r="AC25" s="3" t="n"/>
      <c r="AE25" s="3" t="n"/>
      <c r="AF25" s="3" t="n"/>
      <c r="AG25" s="1" t="n"/>
      <c r="AH25" s="3" t="n"/>
      <c r="AI25" s="3" t="n"/>
      <c r="AJ25" s="1" t="n"/>
      <c r="AK25" s="3" t="n"/>
      <c r="AL25" s="3" t="n"/>
      <c r="AM25" s="1" t="n"/>
      <c r="AN25" s="3" t="n"/>
      <c r="AO25" s="3" t="n"/>
      <c r="AP25" s="1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1" t="n"/>
      <c r="S26" s="3" t="n"/>
      <c r="T26" s="3" t="n"/>
      <c r="U26" s="1" t="n"/>
      <c r="V26" s="3" t="n"/>
      <c r="W26" s="3" t="n"/>
      <c r="X26" s="1" t="n"/>
      <c r="Y26" s="3" t="n"/>
      <c r="Z26" s="3" t="n"/>
      <c r="AA26" s="1" t="n"/>
      <c r="AB26" s="3" t="n"/>
      <c r="AC26" s="3" t="n"/>
      <c r="AE26" s="3" t="n"/>
      <c r="AF26" s="3" t="n"/>
      <c r="AG26" s="1" t="n"/>
      <c r="AH26" s="3" t="n"/>
      <c r="AI26" s="3" t="n"/>
      <c r="AJ26" s="1" t="n"/>
      <c r="AK26" s="3" t="n"/>
      <c r="AL26" s="3" t="n"/>
      <c r="AM26" s="1" t="n"/>
      <c r="AN26" s="3" t="n"/>
      <c r="AO26" s="3" t="n"/>
      <c r="AP26" s="1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1" t="n"/>
      <c r="S27" s="3" t="n"/>
      <c r="T27" s="3" t="n"/>
      <c r="U27" s="1" t="n"/>
      <c r="V27" s="3" t="n"/>
      <c r="W27" s="3" t="n"/>
      <c r="X27" s="1" t="n"/>
      <c r="Y27" s="3" t="n"/>
      <c r="Z27" s="3" t="n"/>
      <c r="AA27" s="1" t="n"/>
      <c r="AB27" s="3" t="n"/>
      <c r="AC27" s="3" t="n"/>
      <c r="AE27" s="3" t="n"/>
      <c r="AF27" s="3" t="n"/>
      <c r="AG27" s="1" t="n"/>
      <c r="AH27" s="3" t="n"/>
      <c r="AI27" s="3" t="n"/>
      <c r="AJ27" s="1" t="n"/>
      <c r="AK27" s="3" t="n"/>
      <c r="AL27" s="3" t="n"/>
      <c r="AM27" s="1" t="n"/>
      <c r="AN27" s="3" t="n"/>
      <c r="AO27" s="3" t="n"/>
      <c r="AP27" s="1" t="n"/>
      <c r="AQ27" s="3" t="n"/>
      <c r="AR27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R27"/>
  <sheetViews>
    <sheetView showGridLines="0" zoomScale="140" zoomScaleNormal="140" workbookViewId="0">
      <selection activeCell="A8" sqref="A8"/>
    </sheetView>
  </sheetViews>
  <sheetFormatPr baseColWidth="10" defaultRowHeight="16"/>
  <cols>
    <col width="10.83203125" customWidth="1" style="1" min="1" max="2"/>
    <col width="3.83203125" customWidth="1" style="1" min="3" max="3"/>
    <col width="10.83203125" customWidth="1" style="1" min="4" max="5"/>
    <col width="3.83203125" customWidth="1" style="1" min="6" max="6"/>
    <col width="10.83203125" customWidth="1" style="1" min="7" max="8"/>
    <col width="3.83203125" customWidth="1" style="1" min="9" max="9"/>
    <col width="10.83203125" customWidth="1" style="1" min="10" max="11"/>
    <col width="3.83203125" customWidth="1" style="1" min="12" max="12"/>
    <col width="10.83203125" customWidth="1" style="1" min="13" max="14"/>
    <col width="3.83203125" customWidth="1" min="15" max="15"/>
    <col width="3.83203125" customWidth="1" min="18" max="18"/>
    <col width="3.83203125" customWidth="1" min="21" max="21"/>
    <col width="3.83203125" customWidth="1" min="24" max="24"/>
    <col width="3.83203125" customWidth="1" min="27" max="27"/>
    <col width="3.83203125" customWidth="1" min="30" max="30"/>
    <col width="3.83203125" customWidth="1" min="33" max="33"/>
    <col width="3.83203125" customWidth="1" min="36" max="36"/>
    <col width="3.83203125" customWidth="1" min="39" max="39"/>
    <col width="3.83203125" customWidth="1" min="42" max="42"/>
  </cols>
  <sheetData>
    <row r="2">
      <c r="A2" s="24" t="inlineStr">
        <is>
          <t xml:space="preserve">Polygons coordinates can be input in CW or CCW order. 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1" t="n"/>
      <c r="S4" s="55" t="inlineStr">
        <is>
          <t>Polygon #7</t>
        </is>
      </c>
      <c r="U4" s="1" t="n"/>
      <c r="V4" s="55" t="inlineStr">
        <is>
          <t>Polygon #8</t>
        </is>
      </c>
      <c r="X4" s="1" t="n"/>
      <c r="Y4" s="55" t="inlineStr">
        <is>
          <t>Polygon #9</t>
        </is>
      </c>
      <c r="AA4" s="1" t="n"/>
      <c r="AB4" s="55" t="inlineStr">
        <is>
          <t>Polygon #10</t>
        </is>
      </c>
      <c r="AE4" s="55" t="inlineStr">
        <is>
          <t>Polygon #11</t>
        </is>
      </c>
      <c r="AG4" s="1" t="n"/>
      <c r="AH4" s="55" t="inlineStr">
        <is>
          <t>Polygon #12</t>
        </is>
      </c>
      <c r="AJ4" s="1" t="n"/>
      <c r="AK4" s="55" t="inlineStr">
        <is>
          <t>Polygon #13</t>
        </is>
      </c>
      <c r="AM4" s="1" t="n"/>
      <c r="AN4" s="55" t="inlineStr">
        <is>
          <t>Polygon #14</t>
        </is>
      </c>
      <c r="AP4" s="1" t="n"/>
      <c r="AQ4" s="55" t="inlineStr">
        <is>
          <t>Polygon #15</t>
        </is>
      </c>
    </row>
    <row r="5">
      <c r="A5" s="38" t="inlineStr">
        <is>
          <t>Mat ID:</t>
        </is>
      </c>
      <c r="B5" s="39" t="n">
        <v>1</v>
      </c>
      <c r="D5" s="38" t="inlineStr">
        <is>
          <t>Mat ID:</t>
        </is>
      </c>
      <c r="E5" s="39" t="n">
        <v>2</v>
      </c>
      <c r="G5" s="38" t="inlineStr">
        <is>
          <t>Mat ID:</t>
        </is>
      </c>
      <c r="H5" s="39" t="n">
        <v>3</v>
      </c>
      <c r="J5" s="38" t="inlineStr">
        <is>
          <t>Mat ID:</t>
        </is>
      </c>
      <c r="K5" s="39" t="n">
        <v>4</v>
      </c>
      <c r="M5" s="38" t="inlineStr">
        <is>
          <t>Mat ID:</t>
        </is>
      </c>
      <c r="N5" s="39" t="n">
        <v>5</v>
      </c>
      <c r="P5" s="38" t="inlineStr">
        <is>
          <t>Mat ID:</t>
        </is>
      </c>
      <c r="Q5" s="39" t="n">
        <v>6</v>
      </c>
      <c r="R5" s="1" t="n"/>
      <c r="S5" s="38" t="inlineStr">
        <is>
          <t>Mat ID:</t>
        </is>
      </c>
      <c r="T5" s="39" t="n">
        <v>7</v>
      </c>
      <c r="U5" s="1" t="n"/>
      <c r="V5" s="38" t="inlineStr">
        <is>
          <t>Mat ID:</t>
        </is>
      </c>
      <c r="W5" s="39" t="n">
        <v>8</v>
      </c>
      <c r="X5" s="1" t="n"/>
      <c r="Y5" s="38" t="inlineStr">
        <is>
          <t>Mat ID:</t>
        </is>
      </c>
      <c r="Z5" s="39" t="n">
        <v>9</v>
      </c>
      <c r="AA5" s="1" t="n"/>
      <c r="AB5" s="38" t="inlineStr">
        <is>
          <t>Mat ID:</t>
        </is>
      </c>
      <c r="AC5" s="39" t="n">
        <v>10</v>
      </c>
      <c r="AE5" s="38" t="inlineStr">
        <is>
          <t>Mat ID:</t>
        </is>
      </c>
      <c r="AF5" s="39" t="n">
        <v>11</v>
      </c>
      <c r="AG5" s="1" t="n"/>
      <c r="AH5" s="38" t="inlineStr">
        <is>
          <t>Mat ID:</t>
        </is>
      </c>
      <c r="AI5" s="39" t="n">
        <v>12</v>
      </c>
      <c r="AJ5" s="1" t="n"/>
      <c r="AK5" s="38" t="inlineStr">
        <is>
          <t>Mat ID:</t>
        </is>
      </c>
      <c r="AL5" s="39" t="n">
        <v>13</v>
      </c>
      <c r="AM5" s="1" t="n"/>
      <c r="AN5" s="38" t="inlineStr">
        <is>
          <t>Mat ID:</t>
        </is>
      </c>
      <c r="AO5" s="39" t="n">
        <v>14</v>
      </c>
      <c r="AP5" s="1" t="n"/>
      <c r="AQ5" s="38" t="inlineStr">
        <is>
          <t>Mat ID:</t>
        </is>
      </c>
      <c r="AR5" s="39" t="n">
        <v>15</v>
      </c>
    </row>
    <row r="6">
      <c r="A6" s="38">
        <f>_xlfn.XLOOKUP(B5,mat!$A:$A, mat!$B:$B,"") &amp; ""</f>
        <v/>
      </c>
      <c r="B6" s="64" t="n"/>
      <c r="D6" s="38">
        <f>_xlfn.XLOOKUP(E5,mat!$A:$A, mat!$B:$B,"") &amp; ""</f>
        <v/>
      </c>
      <c r="E6" s="64" t="n"/>
      <c r="G6" s="38">
        <f>_xlfn.XLOOKUP(H5,mat!$A:$A, mat!$B:$B,"") &amp; ""</f>
        <v/>
      </c>
      <c r="H6" s="64" t="n"/>
      <c r="J6" s="38">
        <f>_xlfn.XLOOKUP(K5,mat!$A:$A, mat!$B:$B,"") &amp; ""</f>
        <v/>
      </c>
      <c r="K6" s="64" t="n"/>
      <c r="M6" s="38">
        <f>_xlfn.XLOOKUP(N5,mat!$A:$A, mat!$B:$B,"") &amp; ""</f>
        <v/>
      </c>
      <c r="N6" s="64" t="n"/>
      <c r="P6" s="38">
        <f>_xlfn.XLOOKUP(Q5,mat!$A:$A, mat!$B:$B,"") &amp; ""</f>
        <v/>
      </c>
      <c r="Q6" s="64" t="n"/>
      <c r="R6" s="1" t="n"/>
      <c r="S6" s="38">
        <f>_xlfn.XLOOKUP(T5,mat!$A:$A, mat!$B:$B,"") &amp; ""</f>
        <v/>
      </c>
      <c r="T6" s="64" t="n"/>
      <c r="U6" s="1" t="n"/>
      <c r="V6" s="38">
        <f>_xlfn.XLOOKUP(W5,mat!$A:$A, mat!$B:$B,"") &amp; ""</f>
        <v/>
      </c>
      <c r="W6" s="64" t="n"/>
      <c r="X6" s="1" t="n"/>
      <c r="Y6" s="38">
        <f>_xlfn.XLOOKUP(Z5,mat!$A:$A, mat!$B:$B,"") &amp; ""</f>
        <v/>
      </c>
      <c r="Z6" s="64" t="n"/>
      <c r="AA6" s="1" t="n"/>
      <c r="AB6" s="38">
        <f>_xlfn.XLOOKUP(AC5,mat!$A:$A, mat!$B:$B,"") &amp; ""</f>
        <v/>
      </c>
      <c r="AC6" s="64" t="n"/>
      <c r="AE6" s="38">
        <f>_xlfn.XLOOKUP(AF5,mat!$A:$A, mat!$B:$B,"") &amp; ""</f>
        <v/>
      </c>
      <c r="AF6" s="64" t="n"/>
      <c r="AG6" s="1" t="n"/>
      <c r="AH6" s="38">
        <f>_xlfn.XLOOKUP(AI5,mat!$A:$A, mat!$B:$B,"") &amp; ""</f>
        <v/>
      </c>
      <c r="AI6" s="64" t="n"/>
      <c r="AJ6" s="1" t="n"/>
      <c r="AK6" s="38">
        <f>_xlfn.XLOOKUP(AL5,mat!$A:$A, mat!$B:$B,"") &amp; ""</f>
        <v/>
      </c>
      <c r="AL6" s="64" t="n"/>
      <c r="AM6" s="1" t="n"/>
      <c r="AN6" s="38">
        <f>_xlfn.XLOOKUP(AO5,mat!$A:$A, mat!$B:$B,"") &amp; ""</f>
        <v/>
      </c>
      <c r="AO6" s="64" t="n"/>
      <c r="AP6" s="1" t="n"/>
      <c r="AQ6" s="38">
        <f>_xlfn.XLOOKUP(AR5,mat!$A:$A, mat!$B:$B,"") &amp; ""</f>
        <v/>
      </c>
      <c r="AR6" s="64" t="n"/>
    </row>
    <row r="7">
      <c r="A7" s="2" t="inlineStr">
        <is>
          <t>x</t>
        </is>
      </c>
      <c r="B7" s="2" t="inlineStr">
        <is>
          <t>y</t>
        </is>
      </c>
      <c r="D7" s="2" t="inlineStr">
        <is>
          <t>x</t>
        </is>
      </c>
      <c r="E7" s="2" t="inlineStr">
        <is>
          <t>y</t>
        </is>
      </c>
      <c r="G7" s="2" t="inlineStr">
        <is>
          <t>x</t>
        </is>
      </c>
      <c r="H7" s="2" t="inlineStr">
        <is>
          <t>y</t>
        </is>
      </c>
      <c r="J7" s="2" t="inlineStr">
        <is>
          <t>x</t>
        </is>
      </c>
      <c r="K7" s="2" t="inlineStr">
        <is>
          <t>y</t>
        </is>
      </c>
      <c r="M7" s="2" t="inlineStr">
        <is>
          <t>x</t>
        </is>
      </c>
      <c r="N7" s="2" t="inlineStr">
        <is>
          <t>y</t>
        </is>
      </c>
      <c r="P7" s="2" t="inlineStr">
        <is>
          <t>x</t>
        </is>
      </c>
      <c r="Q7" s="2" t="inlineStr">
        <is>
          <t>y</t>
        </is>
      </c>
      <c r="R7" s="1" t="n"/>
      <c r="S7" s="2" t="inlineStr">
        <is>
          <t>x</t>
        </is>
      </c>
      <c r="T7" s="2" t="inlineStr">
        <is>
          <t>y</t>
        </is>
      </c>
      <c r="U7" s="1" t="n"/>
      <c r="V7" s="2" t="inlineStr">
        <is>
          <t>x</t>
        </is>
      </c>
      <c r="W7" s="2" t="inlineStr">
        <is>
          <t>y</t>
        </is>
      </c>
      <c r="X7" s="1" t="n"/>
      <c r="Y7" s="2" t="inlineStr">
        <is>
          <t>x</t>
        </is>
      </c>
      <c r="Z7" s="2" t="inlineStr">
        <is>
          <t>y</t>
        </is>
      </c>
      <c r="AA7" s="1" t="n"/>
      <c r="AB7" s="2" t="inlineStr">
        <is>
          <t>x</t>
        </is>
      </c>
      <c r="AC7" s="2" t="inlineStr">
        <is>
          <t>y</t>
        </is>
      </c>
      <c r="AE7" s="2" t="inlineStr">
        <is>
          <t>x</t>
        </is>
      </c>
      <c r="AF7" s="2" t="inlineStr">
        <is>
          <t>y</t>
        </is>
      </c>
      <c r="AG7" s="1" t="n"/>
      <c r="AH7" s="2" t="inlineStr">
        <is>
          <t>x</t>
        </is>
      </c>
      <c r="AI7" s="2" t="inlineStr">
        <is>
          <t>y</t>
        </is>
      </c>
      <c r="AJ7" s="1" t="n"/>
      <c r="AK7" s="2" t="inlineStr">
        <is>
          <t>x</t>
        </is>
      </c>
      <c r="AL7" s="2" t="inlineStr">
        <is>
          <t>y</t>
        </is>
      </c>
      <c r="AM7" s="1" t="n"/>
      <c r="AN7" s="2" t="inlineStr">
        <is>
          <t>x</t>
        </is>
      </c>
      <c r="AO7" s="2" t="inlineStr">
        <is>
          <t>y</t>
        </is>
      </c>
      <c r="AP7" s="1" t="n"/>
      <c r="AQ7" s="2" t="inlineStr">
        <is>
          <t>x</t>
        </is>
      </c>
      <c r="AR7" s="2" t="inlineStr">
        <is>
          <t>y</t>
        </is>
      </c>
    </row>
    <row r="8">
      <c r="A8" s="3" t="n"/>
      <c r="B8" s="3" t="n"/>
      <c r="D8" s="3" t="n"/>
      <c r="E8" s="3" t="n"/>
      <c r="G8" s="3" t="n"/>
      <c r="H8" s="3" t="n"/>
      <c r="J8" s="3" t="n"/>
      <c r="K8" s="3" t="n"/>
      <c r="M8" s="3" t="n"/>
      <c r="N8" s="3" t="n"/>
      <c r="P8" s="3" t="n"/>
      <c r="Q8" s="3" t="n"/>
      <c r="R8" s="1" t="n"/>
      <c r="S8" s="3" t="n"/>
      <c r="T8" s="3" t="n"/>
      <c r="U8" s="1" t="n"/>
      <c r="V8" s="3" t="n"/>
      <c r="W8" s="3" t="n"/>
      <c r="X8" s="1" t="n"/>
      <c r="Y8" s="3" t="n"/>
      <c r="Z8" s="3" t="n"/>
      <c r="AA8" s="1" t="n"/>
      <c r="AB8" s="3" t="n"/>
      <c r="AC8" s="3" t="n"/>
      <c r="AE8" s="3" t="n"/>
      <c r="AF8" s="3" t="n"/>
      <c r="AG8" s="1" t="n"/>
      <c r="AH8" s="3" t="n"/>
      <c r="AI8" s="3" t="n"/>
      <c r="AJ8" s="1" t="n"/>
      <c r="AK8" s="3" t="n"/>
      <c r="AL8" s="3" t="n"/>
      <c r="AM8" s="1" t="n"/>
      <c r="AN8" s="3" t="n"/>
      <c r="AO8" s="3" t="n"/>
      <c r="AP8" s="1" t="n"/>
      <c r="AQ8" s="3" t="n"/>
      <c r="AR8" s="3" t="n"/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1" t="n"/>
      <c r="S9" s="3" t="n"/>
      <c r="T9" s="3" t="n"/>
      <c r="U9" s="1" t="n"/>
      <c r="V9" s="3" t="n"/>
      <c r="W9" s="3" t="n"/>
      <c r="X9" s="1" t="n"/>
      <c r="Y9" s="3" t="n"/>
      <c r="Z9" s="3" t="n"/>
      <c r="AA9" s="1" t="n"/>
      <c r="AB9" s="3" t="n"/>
      <c r="AC9" s="3" t="n"/>
      <c r="AE9" s="3" t="n"/>
      <c r="AF9" s="3" t="n"/>
      <c r="AG9" s="1" t="n"/>
      <c r="AH9" s="3" t="n"/>
      <c r="AI9" s="3" t="n"/>
      <c r="AJ9" s="1" t="n"/>
      <c r="AK9" s="3" t="n"/>
      <c r="AL9" s="3" t="n"/>
      <c r="AM9" s="1" t="n"/>
      <c r="AN9" s="3" t="n"/>
      <c r="AO9" s="3" t="n"/>
      <c r="AP9" s="1" t="n"/>
      <c r="AQ9" s="3" t="n"/>
      <c r="AR9" s="3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1" t="n"/>
      <c r="S10" s="3" t="n"/>
      <c r="T10" s="3" t="n"/>
      <c r="U10" s="1" t="n"/>
      <c r="V10" s="3" t="n"/>
      <c r="W10" s="3" t="n"/>
      <c r="X10" s="1" t="n"/>
      <c r="Y10" s="3" t="n"/>
      <c r="Z10" s="3" t="n"/>
      <c r="AA10" s="1" t="n"/>
      <c r="AB10" s="3" t="n"/>
      <c r="AC10" s="3" t="n"/>
      <c r="AE10" s="3" t="n"/>
      <c r="AF10" s="3" t="n"/>
      <c r="AG10" s="1" t="n"/>
      <c r="AH10" s="3" t="n"/>
      <c r="AI10" s="3" t="n"/>
      <c r="AJ10" s="1" t="n"/>
      <c r="AK10" s="3" t="n"/>
      <c r="AL10" s="3" t="n"/>
      <c r="AM10" s="1" t="n"/>
      <c r="AN10" s="3" t="n"/>
      <c r="AO10" s="3" t="n"/>
      <c r="AP10" s="1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1" t="n"/>
      <c r="S11" s="3" t="n"/>
      <c r="T11" s="3" t="n"/>
      <c r="U11" s="1" t="n"/>
      <c r="V11" s="3" t="n"/>
      <c r="W11" s="3" t="n"/>
      <c r="X11" s="1" t="n"/>
      <c r="Y11" s="3" t="n"/>
      <c r="Z11" s="3" t="n"/>
      <c r="AA11" s="1" t="n"/>
      <c r="AB11" s="3" t="n"/>
      <c r="AC11" s="3" t="n"/>
      <c r="AE11" s="3" t="n"/>
      <c r="AF11" s="3" t="n"/>
      <c r="AG11" s="1" t="n"/>
      <c r="AH11" s="3" t="n"/>
      <c r="AI11" s="3" t="n"/>
      <c r="AJ11" s="1" t="n"/>
      <c r="AK11" s="3" t="n"/>
      <c r="AL11" s="3" t="n"/>
      <c r="AM11" s="1" t="n"/>
      <c r="AN11" s="3" t="n"/>
      <c r="AO11" s="3" t="n"/>
      <c r="AP11" s="1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1" t="n"/>
      <c r="S12" s="3" t="n"/>
      <c r="T12" s="3" t="n"/>
      <c r="U12" s="1" t="n"/>
      <c r="V12" s="3" t="n"/>
      <c r="W12" s="3" t="n"/>
      <c r="X12" s="1" t="n"/>
      <c r="Y12" s="3" t="n"/>
      <c r="Z12" s="3" t="n"/>
      <c r="AA12" s="1" t="n"/>
      <c r="AB12" s="3" t="n"/>
      <c r="AC12" s="3" t="n"/>
      <c r="AE12" s="3" t="n"/>
      <c r="AF12" s="3" t="n"/>
      <c r="AG12" s="1" t="n"/>
      <c r="AH12" s="3" t="n"/>
      <c r="AI12" s="3" t="n"/>
      <c r="AJ12" s="1" t="n"/>
      <c r="AK12" s="3" t="n"/>
      <c r="AL12" s="3" t="n"/>
      <c r="AM12" s="1" t="n"/>
      <c r="AN12" s="3" t="n"/>
      <c r="AO12" s="3" t="n"/>
      <c r="AP12" s="1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1" t="n"/>
      <c r="S13" s="3" t="n"/>
      <c r="T13" s="3" t="n"/>
      <c r="U13" s="1" t="n"/>
      <c r="V13" s="3" t="n"/>
      <c r="W13" s="3" t="n"/>
      <c r="X13" s="1" t="n"/>
      <c r="Y13" s="3" t="n"/>
      <c r="Z13" s="3" t="n"/>
      <c r="AA13" s="1" t="n"/>
      <c r="AB13" s="3" t="n"/>
      <c r="AC13" s="3" t="n"/>
      <c r="AE13" s="3" t="n"/>
      <c r="AF13" s="3" t="n"/>
      <c r="AG13" s="1" t="n"/>
      <c r="AH13" s="3" t="n"/>
      <c r="AI13" s="3" t="n"/>
      <c r="AJ13" s="1" t="n"/>
      <c r="AK13" s="3" t="n"/>
      <c r="AL13" s="3" t="n"/>
      <c r="AM13" s="1" t="n"/>
      <c r="AN13" s="3" t="n"/>
      <c r="AO13" s="3" t="n"/>
      <c r="AP13" s="1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1" t="n"/>
      <c r="S14" s="3" t="n"/>
      <c r="T14" s="3" t="n"/>
      <c r="U14" s="1" t="n"/>
      <c r="V14" s="3" t="n"/>
      <c r="W14" s="3" t="n"/>
      <c r="X14" s="1" t="n"/>
      <c r="Y14" s="3" t="n"/>
      <c r="Z14" s="3" t="n"/>
      <c r="AA14" s="1" t="n"/>
      <c r="AB14" s="3" t="n"/>
      <c r="AC14" s="3" t="n"/>
      <c r="AE14" s="3" t="n"/>
      <c r="AF14" s="3" t="n"/>
      <c r="AG14" s="1" t="n"/>
      <c r="AH14" s="3" t="n"/>
      <c r="AI14" s="3" t="n"/>
      <c r="AJ14" s="1" t="n"/>
      <c r="AK14" s="3" t="n"/>
      <c r="AL14" s="3" t="n"/>
      <c r="AM14" s="1" t="n"/>
      <c r="AN14" s="3" t="n"/>
      <c r="AO14" s="3" t="n"/>
      <c r="AP14" s="1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1" t="n"/>
      <c r="S15" s="3" t="n"/>
      <c r="T15" s="3" t="n"/>
      <c r="U15" s="1" t="n"/>
      <c r="V15" s="3" t="n"/>
      <c r="W15" s="3" t="n"/>
      <c r="X15" s="1" t="n"/>
      <c r="Y15" s="3" t="n"/>
      <c r="Z15" s="3" t="n"/>
      <c r="AA15" s="1" t="n"/>
      <c r="AB15" s="3" t="n"/>
      <c r="AC15" s="3" t="n"/>
      <c r="AE15" s="3" t="n"/>
      <c r="AF15" s="3" t="n"/>
      <c r="AG15" s="1" t="n"/>
      <c r="AH15" s="3" t="n"/>
      <c r="AI15" s="3" t="n"/>
      <c r="AJ15" s="1" t="n"/>
      <c r="AK15" s="3" t="n"/>
      <c r="AL15" s="3" t="n"/>
      <c r="AM15" s="1" t="n"/>
      <c r="AN15" s="3" t="n"/>
      <c r="AO15" s="3" t="n"/>
      <c r="AP15" s="1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1" t="n"/>
      <c r="S16" s="3" t="n"/>
      <c r="T16" s="3" t="n"/>
      <c r="U16" s="1" t="n"/>
      <c r="V16" s="3" t="n"/>
      <c r="W16" s="3" t="n"/>
      <c r="X16" s="1" t="n"/>
      <c r="Y16" s="3" t="n"/>
      <c r="Z16" s="3" t="n"/>
      <c r="AA16" s="1" t="n"/>
      <c r="AB16" s="3" t="n"/>
      <c r="AC16" s="3" t="n"/>
      <c r="AE16" s="3" t="n"/>
      <c r="AF16" s="3" t="n"/>
      <c r="AG16" s="1" t="n"/>
      <c r="AH16" s="3" t="n"/>
      <c r="AI16" s="3" t="n"/>
      <c r="AJ16" s="1" t="n"/>
      <c r="AK16" s="3" t="n"/>
      <c r="AL16" s="3" t="n"/>
      <c r="AM16" s="1" t="n"/>
      <c r="AN16" s="3" t="n"/>
      <c r="AO16" s="3" t="n"/>
      <c r="AP16" s="1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1" t="n"/>
      <c r="S17" s="3" t="n"/>
      <c r="T17" s="3" t="n"/>
      <c r="U17" s="1" t="n"/>
      <c r="V17" s="3" t="n"/>
      <c r="W17" s="3" t="n"/>
      <c r="X17" s="1" t="n"/>
      <c r="Y17" s="3" t="n"/>
      <c r="Z17" s="3" t="n"/>
      <c r="AA17" s="1" t="n"/>
      <c r="AB17" s="3" t="n"/>
      <c r="AC17" s="3" t="n"/>
      <c r="AE17" s="3" t="n"/>
      <c r="AF17" s="3" t="n"/>
      <c r="AG17" s="1" t="n"/>
      <c r="AH17" s="3" t="n"/>
      <c r="AI17" s="3" t="n"/>
      <c r="AJ17" s="1" t="n"/>
      <c r="AK17" s="3" t="n"/>
      <c r="AL17" s="3" t="n"/>
      <c r="AM17" s="1" t="n"/>
      <c r="AN17" s="3" t="n"/>
      <c r="AO17" s="3" t="n"/>
      <c r="AP17" s="1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1" t="n"/>
      <c r="S18" s="3" t="n"/>
      <c r="T18" s="3" t="n"/>
      <c r="U18" s="1" t="n"/>
      <c r="V18" s="3" t="n"/>
      <c r="W18" s="3" t="n"/>
      <c r="X18" s="1" t="n"/>
      <c r="Y18" s="3" t="n"/>
      <c r="Z18" s="3" t="n"/>
      <c r="AA18" s="1" t="n"/>
      <c r="AB18" s="3" t="n"/>
      <c r="AC18" s="3" t="n"/>
      <c r="AE18" s="3" t="n"/>
      <c r="AF18" s="3" t="n"/>
      <c r="AG18" s="1" t="n"/>
      <c r="AH18" s="3" t="n"/>
      <c r="AI18" s="3" t="n"/>
      <c r="AJ18" s="1" t="n"/>
      <c r="AK18" s="3" t="n"/>
      <c r="AL18" s="3" t="n"/>
      <c r="AM18" s="1" t="n"/>
      <c r="AN18" s="3" t="n"/>
      <c r="AO18" s="3" t="n"/>
      <c r="AP18" s="1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1" t="n"/>
      <c r="S19" s="3" t="n"/>
      <c r="T19" s="3" t="n"/>
      <c r="U19" s="1" t="n"/>
      <c r="V19" s="3" t="n"/>
      <c r="W19" s="3" t="n"/>
      <c r="X19" s="1" t="n"/>
      <c r="Y19" s="3" t="n"/>
      <c r="Z19" s="3" t="n"/>
      <c r="AA19" s="1" t="n"/>
      <c r="AB19" s="3" t="n"/>
      <c r="AC19" s="3" t="n"/>
      <c r="AE19" s="3" t="n"/>
      <c r="AF19" s="3" t="n"/>
      <c r="AG19" s="1" t="n"/>
      <c r="AH19" s="3" t="n"/>
      <c r="AI19" s="3" t="n"/>
      <c r="AJ19" s="1" t="n"/>
      <c r="AK19" s="3" t="n"/>
      <c r="AL19" s="3" t="n"/>
      <c r="AM19" s="1" t="n"/>
      <c r="AN19" s="3" t="n"/>
      <c r="AO19" s="3" t="n"/>
      <c r="AP19" s="1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1" t="n"/>
      <c r="S20" s="3" t="n"/>
      <c r="T20" s="3" t="n"/>
      <c r="U20" s="1" t="n"/>
      <c r="V20" s="3" t="n"/>
      <c r="W20" s="3" t="n"/>
      <c r="X20" s="1" t="n"/>
      <c r="Y20" s="3" t="n"/>
      <c r="Z20" s="3" t="n"/>
      <c r="AA20" s="1" t="n"/>
      <c r="AB20" s="3" t="n"/>
      <c r="AC20" s="3" t="n"/>
      <c r="AE20" s="3" t="n"/>
      <c r="AF20" s="3" t="n"/>
      <c r="AG20" s="1" t="n"/>
      <c r="AH20" s="3" t="n"/>
      <c r="AI20" s="3" t="n"/>
      <c r="AJ20" s="1" t="n"/>
      <c r="AK20" s="3" t="n"/>
      <c r="AL20" s="3" t="n"/>
      <c r="AM20" s="1" t="n"/>
      <c r="AN20" s="3" t="n"/>
      <c r="AO20" s="3" t="n"/>
      <c r="AP20" s="1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1" t="n"/>
      <c r="S21" s="3" t="n"/>
      <c r="T21" s="3" t="n"/>
      <c r="U21" s="1" t="n"/>
      <c r="V21" s="3" t="n"/>
      <c r="W21" s="3" t="n"/>
      <c r="X21" s="1" t="n"/>
      <c r="Y21" s="3" t="n"/>
      <c r="Z21" s="3" t="n"/>
      <c r="AA21" s="1" t="n"/>
      <c r="AB21" s="3" t="n"/>
      <c r="AC21" s="3" t="n"/>
      <c r="AE21" s="3" t="n"/>
      <c r="AF21" s="3" t="n"/>
      <c r="AG21" s="1" t="n"/>
      <c r="AH21" s="3" t="n"/>
      <c r="AI21" s="3" t="n"/>
      <c r="AJ21" s="1" t="n"/>
      <c r="AK21" s="3" t="n"/>
      <c r="AL21" s="3" t="n"/>
      <c r="AM21" s="1" t="n"/>
      <c r="AN21" s="3" t="n"/>
      <c r="AO21" s="3" t="n"/>
      <c r="AP21" s="1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1" t="n"/>
      <c r="S22" s="3" t="n"/>
      <c r="T22" s="3" t="n"/>
      <c r="U22" s="1" t="n"/>
      <c r="V22" s="3" t="n"/>
      <c r="W22" s="3" t="n"/>
      <c r="X22" s="1" t="n"/>
      <c r="Y22" s="3" t="n"/>
      <c r="Z22" s="3" t="n"/>
      <c r="AA22" s="1" t="n"/>
      <c r="AB22" s="3" t="n"/>
      <c r="AC22" s="3" t="n"/>
      <c r="AE22" s="3" t="n"/>
      <c r="AF22" s="3" t="n"/>
      <c r="AG22" s="1" t="n"/>
      <c r="AH22" s="3" t="n"/>
      <c r="AI22" s="3" t="n"/>
      <c r="AJ22" s="1" t="n"/>
      <c r="AK22" s="3" t="n"/>
      <c r="AL22" s="3" t="n"/>
      <c r="AM22" s="1" t="n"/>
      <c r="AN22" s="3" t="n"/>
      <c r="AO22" s="3" t="n"/>
      <c r="AP22" s="1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1" t="n"/>
      <c r="S23" s="3" t="n"/>
      <c r="T23" s="3" t="n"/>
      <c r="U23" s="1" t="n"/>
      <c r="V23" s="3" t="n"/>
      <c r="W23" s="3" t="n"/>
      <c r="X23" s="1" t="n"/>
      <c r="Y23" s="3" t="n"/>
      <c r="Z23" s="3" t="n"/>
      <c r="AA23" s="1" t="n"/>
      <c r="AB23" s="3" t="n"/>
      <c r="AC23" s="3" t="n"/>
      <c r="AE23" s="3" t="n"/>
      <c r="AF23" s="3" t="n"/>
      <c r="AG23" s="1" t="n"/>
      <c r="AH23" s="3" t="n"/>
      <c r="AI23" s="3" t="n"/>
      <c r="AJ23" s="1" t="n"/>
      <c r="AK23" s="3" t="n"/>
      <c r="AL23" s="3" t="n"/>
      <c r="AM23" s="1" t="n"/>
      <c r="AN23" s="3" t="n"/>
      <c r="AO23" s="3" t="n"/>
      <c r="AP23" s="1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1" t="n"/>
      <c r="S24" s="3" t="n"/>
      <c r="T24" s="3" t="n"/>
      <c r="U24" s="1" t="n"/>
      <c r="V24" s="3" t="n"/>
      <c r="W24" s="3" t="n"/>
      <c r="X24" s="1" t="n"/>
      <c r="Y24" s="3" t="n"/>
      <c r="Z24" s="3" t="n"/>
      <c r="AA24" s="1" t="n"/>
      <c r="AB24" s="3" t="n"/>
      <c r="AC24" s="3" t="n"/>
      <c r="AE24" s="3" t="n"/>
      <c r="AF24" s="3" t="n"/>
      <c r="AG24" s="1" t="n"/>
      <c r="AH24" s="3" t="n"/>
      <c r="AI24" s="3" t="n"/>
      <c r="AJ24" s="1" t="n"/>
      <c r="AK24" s="3" t="n"/>
      <c r="AL24" s="3" t="n"/>
      <c r="AM24" s="1" t="n"/>
      <c r="AN24" s="3" t="n"/>
      <c r="AO24" s="3" t="n"/>
      <c r="AP24" s="1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1" t="n"/>
      <c r="S25" s="3" t="n"/>
      <c r="T25" s="3" t="n"/>
      <c r="U25" s="1" t="n"/>
      <c r="V25" s="3" t="n"/>
      <c r="W25" s="3" t="n"/>
      <c r="X25" s="1" t="n"/>
      <c r="Y25" s="3" t="n"/>
      <c r="Z25" s="3" t="n"/>
      <c r="AA25" s="1" t="n"/>
      <c r="AB25" s="3" t="n"/>
      <c r="AC25" s="3" t="n"/>
      <c r="AE25" s="3" t="n"/>
      <c r="AF25" s="3" t="n"/>
      <c r="AG25" s="1" t="n"/>
      <c r="AH25" s="3" t="n"/>
      <c r="AI25" s="3" t="n"/>
      <c r="AJ25" s="1" t="n"/>
      <c r="AK25" s="3" t="n"/>
      <c r="AL25" s="3" t="n"/>
      <c r="AM25" s="1" t="n"/>
      <c r="AN25" s="3" t="n"/>
      <c r="AO25" s="3" t="n"/>
      <c r="AP25" s="1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1" t="n"/>
      <c r="S26" s="3" t="n"/>
      <c r="T26" s="3" t="n"/>
      <c r="U26" s="1" t="n"/>
      <c r="V26" s="3" t="n"/>
      <c r="W26" s="3" t="n"/>
      <c r="X26" s="1" t="n"/>
      <c r="Y26" s="3" t="n"/>
      <c r="Z26" s="3" t="n"/>
      <c r="AA26" s="1" t="n"/>
      <c r="AB26" s="3" t="n"/>
      <c r="AC26" s="3" t="n"/>
      <c r="AE26" s="3" t="n"/>
      <c r="AF26" s="3" t="n"/>
      <c r="AG26" s="1" t="n"/>
      <c r="AH26" s="3" t="n"/>
      <c r="AI26" s="3" t="n"/>
      <c r="AJ26" s="1" t="n"/>
      <c r="AK26" s="3" t="n"/>
      <c r="AL26" s="3" t="n"/>
      <c r="AM26" s="1" t="n"/>
      <c r="AN26" s="3" t="n"/>
      <c r="AO26" s="3" t="n"/>
      <c r="AP26" s="1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1" t="n"/>
      <c r="S27" s="3" t="n"/>
      <c r="T27" s="3" t="n"/>
      <c r="U27" s="1" t="n"/>
      <c r="V27" s="3" t="n"/>
      <c r="W27" s="3" t="n"/>
      <c r="X27" s="1" t="n"/>
      <c r="Y27" s="3" t="n"/>
      <c r="Z27" s="3" t="n"/>
      <c r="AA27" s="1" t="n"/>
      <c r="AB27" s="3" t="n"/>
      <c r="AC27" s="3" t="n"/>
      <c r="AE27" s="3" t="n"/>
      <c r="AF27" s="3" t="n"/>
      <c r="AG27" s="1" t="n"/>
      <c r="AH27" s="3" t="n"/>
      <c r="AI27" s="3" t="n"/>
      <c r="AJ27" s="1" t="n"/>
      <c r="AK27" s="3" t="n"/>
      <c r="AL27" s="3" t="n"/>
      <c r="AM27" s="1" t="n"/>
      <c r="AN27" s="3" t="n"/>
      <c r="AO27" s="3" t="n"/>
      <c r="AP27" s="1" t="n"/>
      <c r="AQ27" s="3" t="n"/>
      <c r="AR27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min="3" max="3"/>
    <col width="5.6640625" customWidth="1" min="6" max="6"/>
  </cols>
  <sheetData>
    <row r="2">
      <c r="A2" s="58" t="inlineStr">
        <is>
          <t>Piezometric Line 1</t>
        </is>
      </c>
      <c r="D2" s="59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1" t="n"/>
    </row>
    <row r="5">
      <c r="A5" s="3" t="n"/>
      <c r="B5" s="3" t="n"/>
      <c r="D5" s="3" t="n"/>
      <c r="E5" s="3" t="n"/>
      <c r="G5" s="1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1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L20" sqref="L20"/>
    </sheetView>
  </sheetViews>
  <sheetFormatPr baseColWidth="10" defaultRowHeight="16"/>
  <cols>
    <col width="6.83203125" customWidth="1" style="1" min="1" max="1"/>
    <col width="10.83203125" customWidth="1" style="1" min="2" max="10"/>
    <col width="47.83203125" customWidth="1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1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1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1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9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9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9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9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9" t="inlineStr">
        <is>
          <t>Center box X min:</t>
        </is>
      </c>
    </row>
    <row r="13">
      <c r="J13" s="9" t="inlineStr">
        <is>
          <t>Center box X max:</t>
        </is>
      </c>
    </row>
    <row r="14">
      <c r="J14" s="9" t="inlineStr">
        <is>
          <t>Center box Y min:</t>
        </is>
      </c>
    </row>
    <row r="15">
      <c r="J15" s="9" t="inlineStr">
        <is>
          <t>Center box Y max:</t>
        </is>
      </c>
    </row>
    <row r="16">
      <c r="J16" s="9" t="inlineStr">
        <is>
          <t>Max tangent depth:</t>
        </is>
      </c>
      <c r="K16" s="1" t="n"/>
      <c r="L16" s="1" t="n"/>
      <c r="M16" s="1" t="n"/>
      <c r="N16" s="1" t="n"/>
    </row>
    <row r="17">
      <c r="J17" s="9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1" min="1" max="2"/>
    <col width="13.6640625" customWidth="1" style="1" min="3" max="3"/>
    <col width="33.6640625" customWidth="1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2"/>
  <sheetViews>
    <sheetView showGridLines="0" zoomScale="140" zoomScaleNormal="140" workbookViewId="0">
      <selection activeCell="H25" sqref="H25"/>
    </sheetView>
  </sheetViews>
  <sheetFormatPr baseColWidth="10" defaultRowHeight="16"/>
  <cols>
    <col width="3" customWidth="1" min="1" max="1"/>
    <col width="7.6640625" customWidth="1" min="2" max="4"/>
    <col width="3" customWidth="1" min="5" max="5"/>
    <col width="7.6640625" customWidth="1" min="6" max="8"/>
    <col width="3" customWidth="1" min="9" max="9"/>
    <col width="7.6640625" customWidth="1" min="10" max="12"/>
    <col width="3" customWidth="1" min="13" max="13"/>
    <col width="7.6640625" customWidth="1" min="14" max="16"/>
    <col width="3" customWidth="1" min="17" max="17"/>
    <col width="7.6640625" customWidth="1" min="18" max="20"/>
    <col width="3" customWidth="1" min="21" max="21"/>
    <col width="7.6640625" customWidth="1" min="22" max="24"/>
  </cols>
  <sheetData>
    <row r="2">
      <c r="B2" s="60" t="inlineStr">
        <is>
          <t>Distributed Load #1</t>
        </is>
      </c>
      <c r="C2" s="65" t="n"/>
      <c r="D2" s="65" t="n"/>
      <c r="F2" s="60" t="inlineStr">
        <is>
          <t>Distributed Load #2</t>
        </is>
      </c>
      <c r="G2" s="65" t="n"/>
      <c r="H2" s="65" t="n"/>
      <c r="J2" s="60" t="inlineStr">
        <is>
          <t>Distributed Load #3</t>
        </is>
      </c>
      <c r="K2" s="65" t="n"/>
      <c r="L2" s="65" t="n"/>
      <c r="N2" s="60" t="inlineStr">
        <is>
          <t>Distributed Load #4</t>
        </is>
      </c>
      <c r="O2" s="65" t="n"/>
      <c r="P2" s="65" t="n"/>
      <c r="R2" s="60" t="inlineStr">
        <is>
          <t>Distributed Load #5</t>
        </is>
      </c>
      <c r="S2" s="65" t="n"/>
      <c r="T2" s="65" t="n"/>
      <c r="V2" s="60" t="inlineStr">
        <is>
          <t>Distributed Load #6</t>
        </is>
      </c>
      <c r="W2" s="65" t="n"/>
      <c r="X2" s="65" t="n"/>
    </row>
    <row r="3">
      <c r="B3" s="2" t="inlineStr">
        <is>
          <t>X</t>
        </is>
      </c>
      <c r="C3" s="2" t="inlineStr">
        <is>
          <t>Y</t>
        </is>
      </c>
      <c r="D3" s="2" t="inlineStr">
        <is>
          <t>N</t>
        </is>
      </c>
      <c r="F3" s="2" t="inlineStr">
        <is>
          <t>X</t>
        </is>
      </c>
      <c r="G3" s="2" t="inlineStr">
        <is>
          <t>Y</t>
        </is>
      </c>
      <c r="H3" s="2" t="inlineStr">
        <is>
          <t>N</t>
        </is>
      </c>
      <c r="J3" s="2" t="inlineStr">
        <is>
          <t>X</t>
        </is>
      </c>
      <c r="K3" s="2" t="inlineStr">
        <is>
          <t>Y</t>
        </is>
      </c>
      <c r="L3" s="2" t="inlineStr">
        <is>
          <t>N</t>
        </is>
      </c>
      <c r="N3" s="2" t="inlineStr">
        <is>
          <t>X</t>
        </is>
      </c>
      <c r="O3" s="2" t="inlineStr">
        <is>
          <t>Y</t>
        </is>
      </c>
      <c r="P3" s="2" t="inlineStr">
        <is>
          <t>N</t>
        </is>
      </c>
      <c r="R3" s="2" t="inlineStr">
        <is>
          <t>X</t>
        </is>
      </c>
      <c r="S3" s="2" t="inlineStr">
        <is>
          <t>Y</t>
        </is>
      </c>
      <c r="T3" s="2" t="inlineStr">
        <is>
          <t>N</t>
        </is>
      </c>
      <c r="V3" s="2" t="inlineStr">
        <is>
          <t>X</t>
        </is>
      </c>
      <c r="W3" s="2" t="inlineStr">
        <is>
          <t>Y</t>
        </is>
      </c>
      <c r="X3" s="2" t="inlineStr">
        <is>
          <t>N</t>
        </is>
      </c>
    </row>
    <row r="4">
      <c r="B4" s="3" t="n"/>
      <c r="C4" s="3" t="n"/>
      <c r="D4" s="3" t="n"/>
      <c r="F4" s="3" t="n"/>
      <c r="G4" s="3" t="n"/>
      <c r="H4" s="3" t="n"/>
      <c r="J4" s="3" t="n"/>
      <c r="K4" s="3" t="n"/>
      <c r="L4" s="3" t="n"/>
      <c r="N4" s="3" t="n"/>
      <c r="O4" s="3" t="n"/>
      <c r="P4" s="3" t="n"/>
      <c r="R4" s="3" t="n"/>
      <c r="S4" s="3" t="n"/>
      <c r="T4" s="3" t="n"/>
      <c r="V4" s="3" t="n"/>
      <c r="W4" s="3" t="n"/>
      <c r="X4" s="3" t="n"/>
    </row>
    <row r="5">
      <c r="B5" s="3" t="n"/>
      <c r="C5" s="3" t="n"/>
      <c r="D5" s="3" t="n"/>
      <c r="F5" s="3" t="n"/>
      <c r="G5" s="3" t="n"/>
      <c r="H5" s="3" t="n"/>
      <c r="J5" s="3" t="n"/>
      <c r="K5" s="3" t="n"/>
      <c r="L5" s="3" t="n"/>
      <c r="N5" s="3" t="n"/>
      <c r="O5" s="3" t="n"/>
      <c r="P5" s="3" t="n"/>
      <c r="R5" s="3" t="n"/>
      <c r="S5" s="3" t="n"/>
      <c r="T5" s="3" t="n"/>
      <c r="V5" s="3" t="n"/>
      <c r="W5" s="3" t="n"/>
      <c r="X5" s="3" t="n"/>
    </row>
    <row r="6">
      <c r="B6" s="3" t="n"/>
      <c r="C6" s="3" t="n"/>
      <c r="D6" s="3" t="n"/>
      <c r="F6" s="3" t="n"/>
      <c r="G6" s="3" t="n"/>
      <c r="H6" s="3" t="n"/>
      <c r="J6" s="3" t="n"/>
      <c r="K6" s="3" t="n"/>
      <c r="L6" s="3" t="n"/>
      <c r="N6" s="3" t="n"/>
      <c r="O6" s="3" t="n"/>
      <c r="P6" s="3" t="n"/>
      <c r="R6" s="3" t="n"/>
      <c r="S6" s="3" t="n"/>
      <c r="T6" s="3" t="n"/>
      <c r="V6" s="3" t="n"/>
      <c r="W6" s="3" t="n"/>
      <c r="X6" s="3" t="n"/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</sheetData>
  <mergeCells count="6">
    <mergeCell ref="J2:L2"/>
    <mergeCell ref="N2:P2"/>
    <mergeCell ref="R2:T2"/>
    <mergeCell ref="F2:H2"/>
    <mergeCell ref="B2:D2"/>
    <mergeCell ref="V2:X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X22"/>
  <sheetViews>
    <sheetView showGridLines="0" zoomScale="140" zoomScaleNormal="140" workbookViewId="0">
      <selection activeCell="B4" sqref="B4"/>
    </sheetView>
  </sheetViews>
  <sheetFormatPr baseColWidth="10" defaultRowHeight="16"/>
  <cols>
    <col width="3" customWidth="1" min="1" max="1"/>
    <col width="7.6640625" customWidth="1" min="2" max="4"/>
    <col width="3" customWidth="1" min="5" max="5"/>
    <col width="7.6640625" customWidth="1" min="6" max="8"/>
    <col width="3" customWidth="1" min="9" max="9"/>
    <col width="7.6640625" customWidth="1" min="10" max="12"/>
    <col width="3" customWidth="1" min="13" max="13"/>
    <col width="7.6640625" customWidth="1" min="14" max="16"/>
    <col width="3" customWidth="1" min="17" max="17"/>
    <col width="7.6640625" customWidth="1" min="18" max="20"/>
    <col width="3" customWidth="1" min="21" max="21"/>
    <col width="7.6640625" customWidth="1" min="22" max="24"/>
  </cols>
  <sheetData>
    <row r="2">
      <c r="B2" s="61" t="inlineStr">
        <is>
          <t>Distributed Load #1 (2)</t>
        </is>
      </c>
      <c r="C2" s="65" t="n"/>
      <c r="D2" s="65" t="n"/>
      <c r="F2" s="61" t="inlineStr">
        <is>
          <t>Distributed Load #2 (2)</t>
        </is>
      </c>
      <c r="G2" s="65" t="n"/>
      <c r="H2" s="65" t="n"/>
      <c r="J2" s="61" t="inlineStr">
        <is>
          <t>Distributed Load #3 (2)</t>
        </is>
      </c>
      <c r="K2" s="65" t="n"/>
      <c r="L2" s="65" t="n"/>
      <c r="N2" s="61" t="inlineStr">
        <is>
          <t>Distributed Load #4 (2)</t>
        </is>
      </c>
      <c r="O2" s="65" t="n"/>
      <c r="P2" s="65" t="n"/>
      <c r="R2" s="61" t="inlineStr">
        <is>
          <t>Distributed Load #5 (2)</t>
        </is>
      </c>
      <c r="S2" s="65" t="n"/>
      <c r="T2" s="65" t="n"/>
      <c r="V2" s="61" t="inlineStr">
        <is>
          <t>Distributed Load #6 (2)</t>
        </is>
      </c>
      <c r="W2" s="65" t="n"/>
      <c r="X2" s="65" t="n"/>
    </row>
    <row r="3">
      <c r="B3" s="2" t="inlineStr">
        <is>
          <t>X</t>
        </is>
      </c>
      <c r="C3" s="2" t="inlineStr">
        <is>
          <t>Y</t>
        </is>
      </c>
      <c r="D3" s="2" t="inlineStr">
        <is>
          <t>N</t>
        </is>
      </c>
      <c r="F3" s="2" t="inlineStr">
        <is>
          <t>X</t>
        </is>
      </c>
      <c r="G3" s="2" t="inlineStr">
        <is>
          <t>Y</t>
        </is>
      </c>
      <c r="H3" s="2" t="inlineStr">
        <is>
          <t>N</t>
        </is>
      </c>
      <c r="J3" s="2" t="inlineStr">
        <is>
          <t>X</t>
        </is>
      </c>
      <c r="K3" s="2" t="inlineStr">
        <is>
          <t>Y</t>
        </is>
      </c>
      <c r="L3" s="2" t="inlineStr">
        <is>
          <t>N</t>
        </is>
      </c>
      <c r="N3" s="2" t="inlineStr">
        <is>
          <t>X</t>
        </is>
      </c>
      <c r="O3" s="2" t="inlineStr">
        <is>
          <t>Y</t>
        </is>
      </c>
      <c r="P3" s="2" t="inlineStr">
        <is>
          <t>N</t>
        </is>
      </c>
      <c r="R3" s="2" t="inlineStr">
        <is>
          <t>X</t>
        </is>
      </c>
      <c r="S3" s="2" t="inlineStr">
        <is>
          <t>Y</t>
        </is>
      </c>
      <c r="T3" s="2" t="inlineStr">
        <is>
          <t>N</t>
        </is>
      </c>
      <c r="V3" s="2" t="inlineStr">
        <is>
          <t>X</t>
        </is>
      </c>
      <c r="W3" s="2" t="inlineStr">
        <is>
          <t>Y</t>
        </is>
      </c>
      <c r="X3" s="2" t="inlineStr">
        <is>
          <t>N</t>
        </is>
      </c>
    </row>
    <row r="4">
      <c r="B4" s="3" t="n"/>
      <c r="C4" s="3" t="n"/>
      <c r="D4" s="3" t="n"/>
      <c r="F4" s="3" t="n"/>
      <c r="G4" s="3" t="n"/>
      <c r="H4" s="3" t="n"/>
      <c r="J4" s="3" t="n"/>
      <c r="K4" s="3" t="n"/>
      <c r="L4" s="3" t="n"/>
      <c r="N4" s="3" t="n"/>
      <c r="O4" s="3" t="n"/>
      <c r="P4" s="3" t="n"/>
      <c r="R4" s="3" t="n"/>
      <c r="S4" s="3" t="n"/>
      <c r="T4" s="3" t="n"/>
      <c r="V4" s="3" t="n"/>
      <c r="W4" s="3" t="n"/>
      <c r="X4" s="3" t="n"/>
    </row>
    <row r="5">
      <c r="B5" s="3" t="n"/>
      <c r="C5" s="3" t="n"/>
      <c r="D5" s="3" t="n"/>
      <c r="F5" s="3" t="n"/>
      <c r="G5" s="3" t="n"/>
      <c r="H5" s="3" t="n"/>
      <c r="J5" s="3" t="n"/>
      <c r="K5" s="3" t="n"/>
      <c r="L5" s="3" t="n"/>
      <c r="N5" s="3" t="n"/>
      <c r="O5" s="3" t="n"/>
      <c r="P5" s="3" t="n"/>
      <c r="R5" s="3" t="n"/>
      <c r="S5" s="3" t="n"/>
      <c r="T5" s="3" t="n"/>
      <c r="V5" s="3" t="n"/>
      <c r="W5" s="3" t="n"/>
      <c r="X5" s="3" t="n"/>
    </row>
    <row r="6">
      <c r="B6" s="3" t="n"/>
      <c r="C6" s="3" t="n"/>
      <c r="D6" s="3" t="n"/>
      <c r="F6" s="3" t="n"/>
      <c r="G6" s="3" t="n"/>
      <c r="H6" s="3" t="n"/>
      <c r="J6" s="3" t="n"/>
      <c r="K6" s="3" t="n"/>
      <c r="L6" s="3" t="n"/>
      <c r="N6" s="3" t="n"/>
      <c r="O6" s="3" t="n"/>
      <c r="P6" s="3" t="n"/>
      <c r="R6" s="3" t="n"/>
      <c r="S6" s="3" t="n"/>
      <c r="T6" s="3" t="n"/>
      <c r="V6" s="3" t="n"/>
      <c r="W6" s="3" t="n"/>
      <c r="X6" s="3" t="n"/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</sheetData>
  <mergeCells count="6">
    <mergeCell ref="J2:L2"/>
    <mergeCell ref="N2:P2"/>
    <mergeCell ref="R2:T2"/>
    <mergeCell ref="F2:H2"/>
    <mergeCell ref="B2:D2"/>
    <mergeCell ref="V2:X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1" min="1" max="1"/>
    <col width="10.83203125" customWidth="1" style="1" min="2" max="6"/>
    <col width="13.1640625" customWidth="1" min="7" max="7"/>
    <col width="10.83203125" customWidth="1" style="1" min="10" max="12"/>
    <col width="10.83203125" customWidth="1" style="1" min="16" max="18"/>
    <col width="4.33203125" customWidth="1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1" min="1" max="1"/>
    <col width="11.5" customWidth="1" style="1" min="2" max="2"/>
    <col width="10.83203125" customWidth="1" style="1" min="3" max="8"/>
    <col width="14.5" customWidth="1" min="9" max="9"/>
    <col width="10.83203125" customWidth="1" style="1" min="10" max="17"/>
    <col width="5.5" customWidth="1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min="1" max="1"/>
    <col width="17.33203125" customWidth="1" min="2" max="2"/>
    <col width="10.83203125" customWidth="1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min="1" max="1"/>
    <col width="3" customWidth="1" min="4" max="4"/>
    <col width="4" customWidth="1" min="7" max="7"/>
    <col width="4.33203125" customWidth="1" min="10" max="10"/>
    <col width="3" customWidth="1" min="13" max="13"/>
    <col width="4" customWidth="1" min="16" max="16"/>
  </cols>
  <sheetData>
    <row r="2">
      <c r="B2" s="62" t="inlineStr">
        <is>
          <t>Exit Face</t>
        </is>
      </c>
      <c r="C2" s="66" t="n"/>
      <c r="E2" s="58" t="inlineStr">
        <is>
          <t>Head/Flux BC #1</t>
        </is>
      </c>
      <c r="H2" s="58" t="inlineStr">
        <is>
          <t>Head/Flux BC #2</t>
        </is>
      </c>
      <c r="K2" s="58" t="inlineStr">
        <is>
          <t>Head/Flux BC #3</t>
        </is>
      </c>
      <c r="N2" s="58" t="inlineStr">
        <is>
          <t>Head/Flux BC #4</t>
        </is>
      </c>
      <c r="Q2" s="58" t="inlineStr">
        <is>
          <t>Head/Flux BC #5</t>
        </is>
      </c>
    </row>
    <row r="3">
      <c r="B3" s="67" t="n"/>
      <c r="C3" s="68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1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1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1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min="1" max="1"/>
    <col width="3" customWidth="1" min="4" max="4"/>
    <col width="4" customWidth="1" min="7" max="7"/>
    <col width="4.33203125" customWidth="1" min="10" max="10"/>
    <col width="3" customWidth="1" min="13" max="13"/>
    <col width="4" customWidth="1" min="16" max="16"/>
  </cols>
  <sheetData>
    <row r="2">
      <c r="B2" s="63" t="inlineStr">
        <is>
          <t>Exit Face (2)</t>
        </is>
      </c>
      <c r="C2" s="66" t="n"/>
      <c r="E2" s="59" t="inlineStr">
        <is>
          <t>Head/Flux BC #1 (2)</t>
        </is>
      </c>
      <c r="H2" s="59" t="inlineStr">
        <is>
          <t>Head/Flux BC #2 (2)</t>
        </is>
      </c>
      <c r="K2" s="59" t="inlineStr">
        <is>
          <t>Head/Flux BC #3 (2)</t>
        </is>
      </c>
      <c r="N2" s="59" t="inlineStr">
        <is>
          <t>Head/Flux BC #4 (2)</t>
        </is>
      </c>
      <c r="Q2" s="59" t="inlineStr">
        <is>
          <t>Head/Flux BC #5 (2)</t>
        </is>
      </c>
    </row>
    <row r="3">
      <c r="B3" s="67" t="n"/>
      <c r="C3" s="68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1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1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/>
  <cols>
    <col width="3.5" customWidth="1" min="1" max="1"/>
    <col width="10.83203125" customWidth="1" style="1" min="2" max="7"/>
    <col width="7.1640625" customWidth="1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1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1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</row>
    <row r="10">
      <c r="B10" s="3" t="n"/>
      <c r="C10" s="3" t="n"/>
      <c r="D10" s="3" t="n"/>
      <c r="E10" s="3" t="n"/>
      <c r="F10" s="3" t="n"/>
      <c r="G10" s="3" t="n"/>
      <c r="J10" t="inlineStr">
        <is>
          <t>save_times</t>
        </is>
      </c>
    </row>
    <row r="11">
      <c r="B11" s="3" t="n"/>
      <c r="C11" s="3" t="n"/>
      <c r="D11" s="3" t="n"/>
      <c r="E11" s="3" t="n"/>
      <c r="F11" s="3" t="n"/>
      <c r="G11" s="3" t="n"/>
      <c r="J11" s="4" t="n"/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2026-07-27T17:24:35Z</dcterms:modified>
  <cp:lastModifiedBy>Norm Jones</cp:lastModifiedBy>
</cp:coreProperties>
</file>