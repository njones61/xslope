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82220011-1717-904E-A1A8-1B94F8793234}" xr6:coauthVersionLast="47" xr6:coauthVersionMax="47" xr10:uidLastSave="{00000000-0000-0000-0000-000000000000}"/>
  <bookViews>
    <workbookView xWindow="24520" yWindow="2880" windowWidth="34200" windowHeight="20240" activeTab="3" xr2:uid="{BA54C293-CE08-6E4C-9212-B3317DAA148E}"/>
  </bookViews>
  <sheets>
    <sheet name="main" sheetId="1" r:id="rId1"/>
    <sheet name="plot" sheetId="9" r:id="rId2"/>
    <sheet name="profile" sheetId="2" r:id="rId3"/>
    <sheet name="mat" sheetId="3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<sst xmlns="http://schemas.openxmlformats.org/spreadsheetml/2006/main" count="286" uniqueCount="156">
  <si>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</si>
  <si>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</si>
  <si>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</si>
  <si>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</si>
  <si>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</si>
  <si>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</si>
  <si>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</si>
  <si>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</si>
  <si>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</si>
  <si>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</si>
  <si>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</si>
  <si>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</si>
  <si>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</si>
  <si>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</si>
  <si>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</si>
  <si>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</si>
  <si>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</si>
  <si>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</si>
  <si>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</si>
  <si>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</si>
  <si>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</si>
  <si>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</si>
  <si>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</si>
  <si>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</si>
  <si>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</si>
  <si>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</si>
  <si>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</si>
  <si>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</si>
  <si>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</si>
  <si>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</si>
  <si>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</si>
  <si>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</si>
  <si>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</si>
  <si>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</si>
  <si>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</si>
  <si>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</si>
  <si>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</si>
  <si>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</si>
  <si>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</si>
  <si>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</si>
  <si>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</si>
  <si>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</si>
  <si>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</si>
  <si>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</si>
  <si>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</si>
  <si>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</si>
  <si>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</si>
  <si>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</si>
  <si>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</si>
  <si>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</si>
  <si>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</si>
  <si>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</si>
  <si>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</si>
  <si>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</si>
  <si>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</si>
  <si>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</si>
  <si>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</si>
  <si>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</si>
  <si>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</si>
  <si>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</si>
  <si>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</si>
  <si>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</si>
  <si>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</si>
  <si>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</si>
  <si>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</si>
  <si>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</si>
  <si>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</si>
  <si>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</si>
  <si>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</si>
  <si>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</si>
  <si>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</si>
  <si>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</si>
  <si>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</si>
  <si>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</si>
  <si>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</si>
  <si>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</si>
  <si>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</si>
  <si>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</si>
  <si>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</si>
  <si>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</si>
  <si>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</si>
  <si>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</si>
  <si>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</si>
  <si>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</si>
  <si>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</si>
  <si>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</si>
  <si>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</si>
  <si>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</si>
  <si>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</si>
  <si>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</si>
  <si>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</si>
  <si>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</si>
  <si>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</si>
  <si>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</si>
  <si>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</si>
  <si>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</si>
  <si>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</si>
  <si>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</si>
  <si>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</si>
  <si>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</si>
  <si>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</si>
  <si>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</si>
  <si>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</si>
  <si>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</si>
  <si>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</si>
  <si>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</si>
  <si>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</si>
  <si>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</si>
  <si>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</si>
  <si>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</si>
  <si>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</si>
  <si>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</si>
  <si>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</si>
  <si>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</si>
  <si>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</si>
  <si>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</si>
  <si>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</si>
  <si>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</si>
  <si>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</si>
  <si>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</si>
  <si>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</si>
  <si>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</si>
  <si>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</si>
  <si>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</si>
  <si>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</si>
  <si>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</si>
  <si>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</si>
  <si>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</si>
  <si>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</si>
  <si>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Silt</t>
  </si>
  <si>
    <t>Sand</t>
  </si>
  <si>
    <t>Clay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</si>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</sst>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0" fillId="0" borderId="0" xfId="0" applyAlignment="1"/>
  </cellXfs>
  <cellStyles count="1">
    <cellStyle name="Normal" xfId="0" builtinId="0"/>
  </cellStyles>
  <dxfs count="6"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profile!$A$7:$A$26</c:f>
              <c:numCache>
                <c:formatCode>General</c:formatCode>
                <c:ptCount val="20"/>
                <c:pt idx="0">
                  <c:v>145.30000000000001</c:v>
                </c:pt>
                <c:pt idx="1">
                  <c:v>170</c:v>
                </c:pt>
                <c:pt idx="2">
                  <c:v>320</c:v>
                </c:pt>
              </c:numCache>
            </c:numRef>
          </c:xVal>
          <c:yVal>
            <c:numRef>
              <c:f>profile!$B$7:$B$26</c:f>
              <c:numCache>
                <c:formatCode>General</c:formatCode>
                <c:ptCount val="20"/>
                <c:pt idx="0">
                  <c:v>64</c:v>
                </c:pt>
                <c:pt idx="1">
                  <c:v>84</c:v>
                </c:pt>
                <c:pt idx="2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profile!$D$7:$D$26</c:f>
              <c:numCache>
                <c:formatCode>General</c:formatCode>
                <c:ptCount val="20"/>
                <c:pt idx="0">
                  <c:v>115.69999999999999</c:v>
                </c:pt>
                <c:pt idx="1">
                  <c:v>145.30000000000001</c:v>
                </c:pt>
                <c:pt idx="2">
                  <c:v>320</c:v>
                </c:pt>
              </c:numCache>
            </c:numRef>
          </c:xVal>
          <c:yVal>
            <c:numRef>
              <c:f>profile!$E$7:$E$26</c:f>
              <c:numCache>
                <c:formatCode>General</c:formatCode>
                <c:ptCount val="20"/>
                <c:pt idx="0">
                  <c:v>40</c:v>
                </c:pt>
                <c:pt idx="1">
                  <c:v>64</c:v>
                </c:pt>
                <c:pt idx="2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profile!$G$7:$G$26</c:f>
              <c:numCache>
                <c:formatCode>General</c:formatCode>
                <c:ptCount val="20"/>
                <c:pt idx="0">
                  <c:v>0</c:v>
                </c:pt>
                <c:pt idx="1">
                  <c:v>320</c:v>
                </c:pt>
              </c:numCache>
            </c:numRef>
          </c:xVal>
          <c:yVal>
            <c:numRef>
              <c:f>profile!$H$7:$H$26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profile!$J$7:$J$26</c:f>
              <c:numCache>
                <c:formatCode>General</c:formatCode>
                <c:ptCount val="20"/>
              </c:numCache>
            </c:numRef>
          </c:xVal>
          <c:yVal>
            <c:numRef>
              <c:f>profile!$K$7:$K$26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profile!$M$7:$M$26</c:f>
              <c:numCache>
                <c:formatCode>General</c:formatCode>
                <c:ptCount val="20"/>
              </c:numCache>
            </c:numRef>
          </c:xVal>
          <c:yVal>
            <c:numRef>
              <c:f>profile!$N$7:$N$26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profile!$P$7:$P$26</c:f>
              <c:numCache>
                <c:formatCode>General</c:formatCode>
                <c:ptCount val="20"/>
              </c:numCache>
            </c:numRef>
          </c:xVal>
          <c:yVal>
            <c:numRef>
              <c:f>profile!$Q$7:$Q$26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profile!$S$7:$S$26</c:f>
              <c:numCache>
                <c:formatCode>General</c:formatCode>
                <c:ptCount val="20"/>
              </c:numCache>
            </c:numRef>
          </c:xVal>
          <c:yVal>
            <c:numRef>
              <c:f>profile!$T$7:$T$26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profile!$V$7:$V$26</c:f>
              <c:numCache>
                <c:formatCode>General</c:formatCode>
                <c:ptCount val="20"/>
              </c:numCache>
            </c:numRef>
          </c:xVal>
          <c:yVal>
            <c:numRef>
              <c:f>profile!$W$7:$W$26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profile!$Y$7:$Y$26</c:f>
              <c:numCache>
                <c:formatCode>General</c:formatCode>
                <c:ptCount val="20"/>
              </c:numCache>
            </c:numRef>
          </c:xVal>
          <c:yVal>
            <c:numRef>
              <c:f>profile!$Z$7:$Z$26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profile!$AB$7:$AB$26</c:f>
              <c:numCache>
                <c:formatCode>General</c:formatCode>
                <c:ptCount val="20"/>
              </c:numCache>
            </c:numRef>
          </c:xVal>
          <c:yVal>
            <c:numRef>
              <c:f>profile!$AC$7:$AC$26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profile!$AE$7:$AE$26</c:f>
              <c:numCache>
                <c:formatCode>General</c:formatCode>
                <c:ptCount val="20"/>
              </c:numCache>
            </c:numRef>
          </c:xVal>
          <c:yVal>
            <c:numRef>
              <c:f>profile!$AF$7:$AF$26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profile!$AH$7:$AH$26</c:f>
              <c:numCache>
                <c:formatCode>General</c:formatCode>
                <c:ptCount val="20"/>
              </c:numCache>
            </c:numRef>
          </c:xVal>
          <c:yVal>
            <c:numRef>
              <c:f>profile!$AI$7:$AI$26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profile!$AK$7:$AK$26</c:f>
              <c:numCache>
                <c:formatCode>General</c:formatCode>
                <c:ptCount val="20"/>
              </c:numCache>
            </c:numRef>
          </c:xVal>
          <c:yVal>
            <c:numRef>
              <c:f>profile!$AL$7:$AL$26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profile!$AN$7:$AN$26</c:f>
              <c:numCache>
                <c:formatCode>General</c:formatCode>
                <c:ptCount val="20"/>
              </c:numCache>
            </c:numRef>
          </c:xVal>
          <c:yVal>
            <c:numRef>
              <c:f>profile!$AO$7:$AO$26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profile!$AQ$7:$AQ$26</c:f>
              <c:numCache>
                <c:formatCode>General</c:formatCode>
                <c:ptCount val="20"/>
              </c:numCache>
            </c:numRef>
          </c:xVal>
          <c:yVal>
            <c:numRef>
              <c:f>profile!$AR$7:$AR$26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0</c:v>
                </c:pt>
                <c:pt idx="1">
                  <c:v>115.69999999999999</c:v>
                </c:pt>
                <c:pt idx="2">
                  <c:v>130.5</c:v>
                </c:pt>
                <c:pt idx="3">
                  <c:v>150</c:v>
                </c:pt>
                <c:pt idx="4">
                  <c:v>180</c:v>
                </c:pt>
                <c:pt idx="5">
                  <c:v>208</c:v>
                </c:pt>
                <c:pt idx="6">
                  <c:v>245</c:v>
                </c:pt>
                <c:pt idx="7">
                  <c:v>320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40</c:v>
                </c:pt>
                <c:pt idx="1">
                  <c:v>40</c:v>
                </c:pt>
                <c:pt idx="2">
                  <c:v>52</c:v>
                </c:pt>
                <c:pt idx="3">
                  <c:v>61</c:v>
                </c:pt>
                <c:pt idx="4">
                  <c:v>70</c:v>
                </c:pt>
                <c:pt idx="5">
                  <c:v>76</c:v>
                </c:pt>
                <c:pt idx="6">
                  <c:v>79</c:v>
                </c:pt>
                <c:pt idx="7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0</c:v>
                </c:pt>
                <c:pt idx="1">
                  <c:v>115.69999999999999</c:v>
                </c:pt>
                <c:pt idx="2">
                  <c:v>145.30000000000001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40</c:v>
                </c:pt>
                <c:pt idx="1">
                  <c:v>40</c:v>
                </c:pt>
                <c:pt idx="2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  <c:pt idx="0">
                  <c:v>170</c:v>
                </c:pt>
                <c:pt idx="1">
                  <c:v>190</c:v>
                </c:pt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  <c:pt idx="0">
                  <c:v>84</c:v>
                </c:pt>
                <c:pt idx="1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  <c:pt idx="0">
                  <c:v>200</c:v>
                </c:pt>
                <c:pt idx="1">
                  <c:v>220</c:v>
                </c:pt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  <c:pt idx="0">
                  <c:v>84</c:v>
                </c:pt>
                <c:pt idx="1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  <c:pt idx="0">
                  <c:v>0</c:v>
                </c:pt>
                <c:pt idx="1">
                  <c:v>115.69999999999999</c:v>
                </c:pt>
                <c:pt idx="2">
                  <c:v>145.30000000000001</c:v>
                </c:pt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  <c:pt idx="0">
                  <c:v>40</c:v>
                </c:pt>
                <c:pt idx="1">
                  <c:v>40</c:v>
                </c:pt>
                <c:pt idx="2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  <c:pt idx="0">
                  <c:v>170</c:v>
                </c:pt>
                <c:pt idx="1">
                  <c:v>190</c:v>
                </c:pt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  <c:pt idx="0">
                  <c:v>84</c:v>
                </c:pt>
                <c:pt idx="1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  <c:pt idx="0">
                  <c:v>200</c:v>
                </c:pt>
                <c:pt idx="1">
                  <c:v>220</c:v>
                </c:pt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  <c:pt idx="0">
                  <c:v>84</c:v>
                </c:pt>
                <c:pt idx="1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0</c:v>
                </c:pt>
                <c:pt idx="1">
                  <c:v>115.7</c:v>
                </c:pt>
                <c:pt idx="2">
                  <c:v>170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  <c:pt idx="2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320</c:v>
                </c:pt>
                <c:pt idx="1">
                  <c:v>320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0</c:v>
                </c:pt>
                <c:pt idx="1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  <c:pt idx="0">
                  <c:v>0</c:v>
                </c:pt>
                <c:pt idx="1">
                  <c:v>115.7</c:v>
                </c:pt>
                <c:pt idx="2">
                  <c:v>170</c:v>
                </c:pt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  <c:pt idx="2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  <c:pt idx="0">
                  <c:v>320</c:v>
                </c:pt>
                <c:pt idx="1">
                  <c:v>320</c:v>
                </c:pt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  <c:pt idx="0">
                  <c:v>0</c:v>
                </c:pt>
                <c:pt idx="1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D31" sqref="D3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2" t="s">
        <v>47</v>
      </c>
      <c r="C7" s="42"/>
      <c r="D7" s="42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17</v>
      </c>
      <c r="G9" t="s">
        <v>18</v>
      </c>
    </row>
    <row r="10" spans="1:7" x14ac:dyDescent="0.2">
      <c r="C10" s="14" t="s">
        <v>48</v>
      </c>
      <c r="D10" s="1">
        <v>0</v>
      </c>
      <c r="F10" s="1" t="s">
        <v>19</v>
      </c>
      <c r="G10" t="s">
        <v>20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6"/>
  <sheetViews>
    <sheetView showGridLines="0" topLeftCell="V1" zoomScale="140" zoomScaleNormal="140" workbookViewId="0">
      <selection activeCell="A8" sqref="A8:B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3" t="s">
        <v>2</v>
      </c>
      <c r="B4" s="43"/>
      <c r="D4" s="43" t="s">
        <v>5</v>
      </c>
      <c r="E4" s="43"/>
      <c r="G4" s="43" t="s">
        <v>6</v>
      </c>
      <c r="H4" s="43"/>
      <c r="J4" s="43" t="s">
        <v>7</v>
      </c>
      <c r="K4" s="43"/>
      <c r="M4" s="43" t="s">
        <v>8</v>
      </c>
      <c r="N4" s="43"/>
      <c r="P4" s="43" t="s">
        <v>9</v>
      </c>
      <c r="Q4" s="43"/>
      <c r="R4" s="1"/>
      <c r="S4" s="43" t="s">
        <v>10</v>
      </c>
      <c r="T4" s="43"/>
      <c r="U4" s="1"/>
      <c r="V4" s="43" t="s">
        <v>11</v>
      </c>
      <c r="W4" s="43"/>
      <c r="X4" s="1"/>
      <c r="Y4" s="43" t="s">
        <v>12</v>
      </c>
      <c r="Z4" s="43"/>
      <c r="AA4" s="1"/>
      <c r="AB4" s="43" t="s">
        <v>13</v>
      </c>
      <c r="AC4" s="43"/>
      <c r="AE4" s="43" t="s">
        <v>116</v>
      </c>
      <c r="AF4" s="43"/>
      <c r="AG4" s="1"/>
      <c r="AH4" s="43" t="s">
        <v>117</v>
      </c>
      <c r="AI4" s="43"/>
      <c r="AJ4" s="1"/>
      <c r="AK4" s="43" t="s">
        <v>118</v>
      </c>
      <c r="AL4" s="43"/>
      <c r="AM4" s="1"/>
      <c r="AN4" s="43" t="s">
        <v>119</v>
      </c>
      <c r="AO4" s="43"/>
      <c r="AP4" s="1"/>
      <c r="AQ4" s="43" t="s">
        <v>120</v>
      </c>
      <c r="AR4" s="43"/>
    </row>
    <row r="5" spans="1:44" x14ac:dyDescent="0.2">
      <c r="A5" s="37" t="s">
        <v>128</v>
      </c>
      <c r="B5" s="37">
        <v>1</v>
      </c>
      <c r="D5" s="37" t="s">
        <v>128</v>
      </c>
      <c r="E5" s="37">
        <v>2</v>
      </c>
      <c r="G5" s="37" t="s">
        <v>128</v>
      </c>
      <c r="H5" s="37">
        <v>3</v>
      </c>
      <c r="J5" s="37" t="s">
        <v>128</v>
      </c>
      <c r="K5" s="37">
        <v>4</v>
      </c>
      <c r="M5" s="37" t="s">
        <v>128</v>
      </c>
      <c r="N5" s="37">
        <v>5</v>
      </c>
      <c r="P5" s="37" t="s">
        <v>128</v>
      </c>
      <c r="Q5" s="37">
        <v>6</v>
      </c>
      <c r="R5" s="1"/>
      <c r="S5" s="37" t="s">
        <v>128</v>
      </c>
      <c r="T5" s="37">
        <v>7</v>
      </c>
      <c r="U5" s="1"/>
      <c r="V5" s="37" t="s">
        <v>128</v>
      </c>
      <c r="W5" s="37">
        <v>8</v>
      </c>
      <c r="X5" s="1"/>
      <c r="Y5" s="37" t="s">
        <v>128</v>
      </c>
      <c r="Z5" s="37">
        <v>9</v>
      </c>
      <c r="AA5" s="1"/>
      <c r="AB5" s="37" t="s">
        <v>128</v>
      </c>
      <c r="AC5" s="37">
        <v>10</v>
      </c>
      <c r="AE5" s="37" t="s">
        <v>128</v>
      </c>
      <c r="AF5" s="37">
        <v>11</v>
      </c>
      <c r="AG5" s="1"/>
      <c r="AH5" s="37" t="s">
        <v>128</v>
      </c>
      <c r="AI5" s="37">
        <v>12</v>
      </c>
      <c r="AJ5" s="1"/>
      <c r="AK5" s="37" t="s">
        <v>128</v>
      </c>
      <c r="AL5" s="37">
        <v>13</v>
      </c>
      <c r="AM5" s="1"/>
      <c r="AN5" s="37" t="s">
        <v>128</v>
      </c>
      <c r="AO5" s="37">
        <v>14</v>
      </c>
      <c r="AP5" s="1"/>
      <c r="AQ5" s="37" t="s">
        <v>128</v>
      </c>
      <c r="AR5" s="37">
        <v>15</v>
      </c>
    </row>
    <row r="6" spans="1:44" x14ac:dyDescent="0.2">
      <c r="A6" s="2" t="s">
        <v>3</v>
      </c>
      <c r="B6" s="2" t="s">
        <v>4</v>
      </c>
      <c r="D6" s="2" t="s">
        <v>3</v>
      </c>
      <c r="E6" s="2" t="s">
        <v>4</v>
      </c>
      <c r="G6" s="2" t="s">
        <v>3</v>
      </c>
      <c r="H6" s="2" t="s">
        <v>4</v>
      </c>
      <c r="J6" s="2" t="s">
        <v>3</v>
      </c>
      <c r="K6" s="2" t="s">
        <v>4</v>
      </c>
      <c r="M6" s="2" t="s">
        <v>3</v>
      </c>
      <c r="N6" s="2" t="s">
        <v>4</v>
      </c>
      <c r="P6" s="2" t="s">
        <v>3</v>
      </c>
      <c r="Q6" s="2" t="s">
        <v>4</v>
      </c>
      <c r="R6" s="1"/>
      <c r="S6" s="2" t="s">
        <v>3</v>
      </c>
      <c r="T6" s="2" t="s">
        <v>4</v>
      </c>
      <c r="U6" s="1"/>
      <c r="V6" s="2" t="s">
        <v>3</v>
      </c>
      <c r="W6" s="2" t="s">
        <v>4</v>
      </c>
      <c r="X6" s="1"/>
      <c r="Y6" s="2" t="s">
        <v>3</v>
      </c>
      <c r="Z6" s="2" t="s">
        <v>4</v>
      </c>
      <c r="AA6" s="1"/>
      <c r="AB6" s="2" t="s">
        <v>3</v>
      </c>
      <c r="AC6" s="2" t="s">
        <v>4</v>
      </c>
      <c r="AE6" s="2" t="s">
        <v>3</v>
      </c>
      <c r="AF6" s="2" t="s">
        <v>4</v>
      </c>
      <c r="AG6" s="1"/>
      <c r="AH6" s="2" t="s">
        <v>3</v>
      </c>
      <c r="AI6" s="2" t="s">
        <v>4</v>
      </c>
      <c r="AJ6" s="1"/>
      <c r="AK6" s="2" t="s">
        <v>3</v>
      </c>
      <c r="AL6" s="2" t="s">
        <v>4</v>
      </c>
      <c r="AM6" s="1"/>
      <c r="AN6" s="2" t="s">
        <v>3</v>
      </c>
      <c r="AO6" s="2" t="s">
        <v>4</v>
      </c>
      <c r="AP6" s="1"/>
      <c r="AQ6" s="2" t="s">
        <v>3</v>
      </c>
      <c r="AR6" s="2" t="s">
        <v>4</v>
      </c>
    </row>
    <row r="7" spans="1:44" x14ac:dyDescent="0.2">
      <c r="A7" s="3">
        <v>145.30000000000001</v>
      </c>
      <c r="B7" s="3">
        <v>64</v>
      </c>
      <c r="D7" s="3">
        <v>115.69999999999999</v>
      </c>
      <c r="E7" s="3">
        <v>40</v>
      </c>
      <c r="G7" s="3">
        <v>0</v>
      </c>
      <c r="H7" s="3">
        <v>40</v>
      </c>
      <c r="J7" s="3"/>
      <c r="K7" s="3"/>
      <c r="M7" s="3"/>
      <c r="N7" s="3"/>
      <c r="P7" s="3"/>
      <c r="Q7" s="3"/>
      <c r="R7" s="1"/>
      <c r="S7" s="16"/>
      <c r="T7" s="17"/>
      <c r="U7" s="1"/>
      <c r="V7" s="16"/>
      <c r="W7" s="17"/>
      <c r="X7" s="1"/>
      <c r="Y7" s="16"/>
      <c r="Z7" s="17"/>
      <c r="AA7" s="1"/>
      <c r="AB7" s="16"/>
      <c r="AC7" s="17"/>
      <c r="AE7" s="3"/>
      <c r="AF7" s="3"/>
      <c r="AG7" s="1"/>
      <c r="AH7" s="16"/>
      <c r="AI7" s="17"/>
      <c r="AJ7" s="1"/>
      <c r="AK7" s="16"/>
      <c r="AL7" s="17"/>
      <c r="AM7" s="1"/>
      <c r="AN7" s="16"/>
      <c r="AO7" s="17"/>
      <c r="AP7" s="1"/>
      <c r="AQ7" s="16"/>
      <c r="AR7" s="17"/>
    </row>
    <row r="8" spans="1:44" x14ac:dyDescent="0.2">
      <c r="A8" s="3">
        <v>170</v>
      </c>
      <c r="B8" s="3">
        <v>84</v>
      </c>
      <c r="D8" s="3">
        <v>145.30000000000001</v>
      </c>
      <c r="E8" s="3">
        <v>64</v>
      </c>
      <c r="G8" s="3">
        <v>320</v>
      </c>
      <c r="H8" s="3">
        <v>40</v>
      </c>
      <c r="J8" s="3"/>
      <c r="K8" s="3"/>
      <c r="M8" s="3"/>
      <c r="N8" s="3"/>
      <c r="P8" s="3"/>
      <c r="Q8" s="3"/>
      <c r="R8" s="1"/>
      <c r="S8" s="18"/>
      <c r="T8" s="19"/>
      <c r="U8" s="1"/>
      <c r="V8" s="18"/>
      <c r="W8" s="19"/>
      <c r="X8" s="1"/>
      <c r="Y8" s="18"/>
      <c r="Z8" s="19"/>
      <c r="AA8" s="1"/>
      <c r="AB8" s="18"/>
      <c r="AC8" s="19"/>
      <c r="AE8" s="3"/>
      <c r="AF8" s="3"/>
      <c r="AG8" s="1"/>
      <c r="AH8" s="18"/>
      <c r="AI8" s="19"/>
      <c r="AJ8" s="1"/>
      <c r="AK8" s="18"/>
      <c r="AL8" s="19"/>
      <c r="AM8" s="1"/>
      <c r="AN8" s="18"/>
      <c r="AO8" s="19"/>
      <c r="AP8" s="1"/>
      <c r="AQ8" s="18"/>
      <c r="AR8" s="19"/>
    </row>
    <row r="9" spans="1:44" x14ac:dyDescent="0.2">
      <c r="A9" s="3">
        <v>320</v>
      </c>
      <c r="B9" s="3">
        <v>84</v>
      </c>
      <c r="D9" s="3">
        <v>320</v>
      </c>
      <c r="E9" s="3">
        <v>64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6"/>
      <c r="W10" s="17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</sheetData>
  <mergeCells count="15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abSelected="1" zoomScale="140" zoomScaleNormal="140" workbookViewId="0">
      <selection activeCell="S25" sqref="S25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  <c r="P3" s="51"/>
      <c r="Q3" s="51"/>
      <c r="R3" s="51"/>
      <c r="S3" s="51"/>
      <c r="T3" s="51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  <c r="P4" s="51"/>
      <c r="Q4" s="51"/>
      <c r="R4" s="51"/>
      <c r="S4" s="51"/>
      <c r="T4" s="51"/>
    </row>
    <row r="5" spans="1:24" x14ac:dyDescent="0.2">
      <c r="J5" s="1" t="s">
        <v>91</v>
      </c>
      <c r="K5" s="9" t="s">
        <v>89</v>
      </c>
      <c r="O5" s="14"/>
      <c r="P5" s="51"/>
      <c r="Q5" s="51"/>
      <c r="R5" s="51"/>
      <c r="S5" s="51"/>
      <c r="T5" s="51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129</v>
      </c>
      <c r="C9" s="3">
        <v>130</v>
      </c>
      <c r="D9" s="3" t="s">
        <v>67</v>
      </c>
      <c r="E9" s="3">
        <v>200</v>
      </c>
      <c r="F9" s="3">
        <v>28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>
        <v>0.5</v>
      </c>
      <c r="S9" s="3">
        <v>0.5</v>
      </c>
      <c r="T9" s="3">
        <v>0</v>
      </c>
      <c r="U9" s="3">
        <v>1E-4</v>
      </c>
      <c r="V9" s="3">
        <v>-1</v>
      </c>
      <c r="W9" s="3">
        <v>1000000</v>
      </c>
      <c r="X9" s="3">
        <v>0.35</v>
      </c>
    </row>
    <row r="10" spans="1:24" x14ac:dyDescent="0.2">
      <c r="A10" s="3">
        <v>2</v>
      </c>
      <c r="B10" s="3" t="s">
        <v>130</v>
      </c>
      <c r="C10" s="3">
        <v>120</v>
      </c>
      <c r="D10" s="3" t="s">
        <v>67</v>
      </c>
      <c r="E10" s="3">
        <v>100</v>
      </c>
      <c r="F10" s="3">
        <v>32</v>
      </c>
      <c r="G10" s="3"/>
      <c r="H10" s="3"/>
      <c r="I10" s="3"/>
      <c r="J10" s="3"/>
      <c r="K10" s="3" t="s">
        <v>21</v>
      </c>
      <c r="L10" s="3"/>
      <c r="M10" s="3"/>
      <c r="N10" s="3"/>
      <c r="O10" s="3"/>
      <c r="P10" s="3"/>
      <c r="Q10" s="3"/>
      <c r="R10" s="3">
        <v>1</v>
      </c>
      <c r="S10" s="3">
        <v>1</v>
      </c>
      <c r="T10" s="3">
        <v>0</v>
      </c>
      <c r="U10" s="3">
        <v>1E-4</v>
      </c>
      <c r="V10" s="3">
        <v>-1</v>
      </c>
      <c r="W10" s="3">
        <v>1000000</v>
      </c>
      <c r="X10" s="3">
        <v>0.35</v>
      </c>
    </row>
    <row r="11" spans="1:24" x14ac:dyDescent="0.2">
      <c r="A11" s="3">
        <v>3</v>
      </c>
      <c r="B11" s="3" t="s">
        <v>131</v>
      </c>
      <c r="C11" s="3">
        <v>132</v>
      </c>
      <c r="D11" s="3" t="s">
        <v>67</v>
      </c>
      <c r="E11" s="3">
        <v>400</v>
      </c>
      <c r="F11" s="3">
        <v>27</v>
      </c>
      <c r="G11" s="3"/>
      <c r="H11" s="3"/>
      <c r="I11" s="3"/>
      <c r="J11" s="3"/>
      <c r="K11" s="3" t="s">
        <v>21</v>
      </c>
      <c r="L11" s="3"/>
      <c r="M11" s="3"/>
      <c r="N11" s="3"/>
      <c r="O11" s="3"/>
      <c r="P11" s="3"/>
      <c r="Q11" s="3"/>
      <c r="R11" s="3">
        <v>0.01</v>
      </c>
      <c r="S11" s="3">
        <v>0.01</v>
      </c>
      <c r="T11" s="3">
        <v>0</v>
      </c>
      <c r="U11" s="3">
        <v>1E-4</v>
      </c>
      <c r="V11" s="3">
        <v>-1</v>
      </c>
      <c r="W11" s="3">
        <v>500000</v>
      </c>
      <c r="X11" s="3">
        <v>0.35</v>
      </c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5" priority="3">
      <formula>$D9="cp"</formula>
    </cfRule>
  </conditionalFormatting>
  <conditionalFormatting sqref="G9:H50">
    <cfRule type="expression" dxfId="4" priority="2">
      <formula>$D9="mc"</formula>
    </cfRule>
  </conditionalFormatting>
  <conditionalFormatting sqref="I9:J50">
    <cfRule type="expression" dxfId="3" priority="4">
      <formula>$D9="cp"</formula>
    </cfRule>
  </conditionalFormatting>
  <conditionalFormatting sqref="M9:N50">
    <cfRule type="expression" dxfId="2" priority="6">
      <formula>$D9="cp"</formula>
    </cfRule>
  </conditionalFormatting>
  <conditionalFormatting sqref="O9:O50">
    <cfRule type="expression" dxfId="1" priority="13">
      <formula>$D9="mc"</formula>
    </cfRule>
  </conditionalFormatting>
  <conditionalFormatting sqref="P9:Q50">
    <cfRule type="expression" dxfId="0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G21" sqref="G2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5" t="s">
        <v>86</v>
      </c>
      <c r="B2" s="45"/>
      <c r="D2" s="46" t="s">
        <v>84</v>
      </c>
      <c r="E2" s="46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0</v>
      </c>
      <c r="B4" s="3">
        <v>40</v>
      </c>
      <c r="D4" s="3"/>
      <c r="E4" s="3"/>
    </row>
    <row r="5" spans="1:7" x14ac:dyDescent="0.2">
      <c r="A5" s="3">
        <v>115.69999999999999</v>
      </c>
      <c r="B5" s="3">
        <v>40</v>
      </c>
      <c r="D5" s="3"/>
      <c r="E5" s="3"/>
    </row>
    <row r="6" spans="1:7" x14ac:dyDescent="0.2">
      <c r="A6" s="3">
        <v>130.5</v>
      </c>
      <c r="B6" s="3">
        <v>52</v>
      </c>
      <c r="D6" s="3"/>
      <c r="E6" s="3"/>
    </row>
    <row r="7" spans="1:7" x14ac:dyDescent="0.2">
      <c r="A7" s="3">
        <v>150</v>
      </c>
      <c r="B7" s="3">
        <v>61</v>
      </c>
      <c r="D7" s="3"/>
      <c r="E7" s="3"/>
    </row>
    <row r="8" spans="1:7" x14ac:dyDescent="0.2">
      <c r="A8" s="3">
        <v>180</v>
      </c>
      <c r="B8" s="3">
        <v>70</v>
      </c>
      <c r="D8" s="3"/>
      <c r="E8" s="3"/>
    </row>
    <row r="9" spans="1:7" x14ac:dyDescent="0.2">
      <c r="A9" s="3">
        <v>208</v>
      </c>
      <c r="B9" s="3">
        <v>76</v>
      </c>
      <c r="D9" s="3"/>
      <c r="E9" s="3"/>
    </row>
    <row r="10" spans="1:7" x14ac:dyDescent="0.2">
      <c r="A10" s="3">
        <v>245</v>
      </c>
      <c r="B10" s="3">
        <v>79</v>
      </c>
      <c r="D10" s="3"/>
      <c r="E10" s="3"/>
    </row>
    <row r="11" spans="1:7" x14ac:dyDescent="0.2">
      <c r="A11" s="3">
        <v>320</v>
      </c>
      <c r="B11" s="3">
        <v>80</v>
      </c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H26" sqref="H26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145</v>
      </c>
      <c r="C3" s="3">
        <v>100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145</v>
      </c>
      <c r="C4" s="3">
        <v>120</v>
      </c>
      <c r="D4" s="3" t="s">
        <v>26</v>
      </c>
      <c r="E4" s="3">
        <v>40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dataValidations count="2">
    <dataValidation type="list" allowBlank="1" showInputMessage="1" showErrorMessage="1" sqref="D5:D12" xr:uid="{06E9E004-FC39-FE49-926A-912F810F5089}">
      <formula1>$J$3:$J$5</formula1>
    </dataValidation>
    <dataValidation type="list" allowBlank="1" showInputMessage="1" showErrorMessage="1" sqref="D3:D4" xr:uid="{AEFC92A9-AB07-FF4B-9461-938B9BDCD07D}">
      <formula1>$J$5:$J$7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:L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47" t="s">
        <v>132</v>
      </c>
      <c r="C2" s="47"/>
      <c r="D2" s="47"/>
      <c r="F2" s="47" t="s">
        <v>133</v>
      </c>
      <c r="G2" s="47"/>
      <c r="H2" s="47"/>
      <c r="J2" s="47" t="s">
        <v>134</v>
      </c>
      <c r="K2" s="47"/>
      <c r="L2" s="47"/>
      <c r="N2" s="47" t="s">
        <v>135</v>
      </c>
      <c r="O2" s="47"/>
      <c r="P2" s="47"/>
      <c r="R2" s="47" t="s">
        <v>136</v>
      </c>
      <c r="S2" s="47"/>
      <c r="T2" s="47"/>
      <c r="V2" s="47" t="s">
        <v>137</v>
      </c>
      <c r="W2" s="47"/>
      <c r="X2" s="4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</v>
      </c>
      <c r="C4" s="3">
        <v>40</v>
      </c>
      <c r="D4" s="3">
        <v>1000</v>
      </c>
      <c r="F4" s="3">
        <v>170</v>
      </c>
      <c r="G4" s="3">
        <v>84</v>
      </c>
      <c r="H4" s="3">
        <v>400</v>
      </c>
      <c r="J4" s="3">
        <v>200</v>
      </c>
      <c r="K4" s="3">
        <v>84</v>
      </c>
      <c r="L4" s="3">
        <v>300</v>
      </c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115.69999999999999</v>
      </c>
      <c r="C5" s="3">
        <v>40</v>
      </c>
      <c r="D5" s="3">
        <v>1000</v>
      </c>
      <c r="F5" s="3">
        <v>190</v>
      </c>
      <c r="G5" s="3">
        <v>84</v>
      </c>
      <c r="H5" s="3">
        <v>400</v>
      </c>
      <c r="J5" s="3">
        <v>220</v>
      </c>
      <c r="K5" s="3">
        <v>84</v>
      </c>
      <c r="L5" s="3">
        <v>500</v>
      </c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145.30000000000001</v>
      </c>
      <c r="C6" s="3">
        <v>64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G5" sqref="G4:G22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48" t="s">
        <v>150</v>
      </c>
      <c r="C2" s="48"/>
      <c r="D2" s="48"/>
      <c r="F2" s="48" t="s">
        <v>151</v>
      </c>
      <c r="G2" s="48"/>
      <c r="H2" s="48"/>
      <c r="J2" s="48" t="s">
        <v>152</v>
      </c>
      <c r="K2" s="48"/>
      <c r="L2" s="48"/>
      <c r="N2" s="48" t="s">
        <v>153</v>
      </c>
      <c r="O2" s="48"/>
      <c r="P2" s="48"/>
      <c r="R2" s="48" t="s">
        <v>154</v>
      </c>
      <c r="S2" s="48"/>
      <c r="T2" s="48"/>
      <c r="V2" s="48" t="s">
        <v>155</v>
      </c>
      <c r="W2" s="48"/>
      <c r="X2" s="4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</v>
      </c>
      <c r="C4" s="3">
        <v>40</v>
      </c>
      <c r="D4" s="3">
        <v>500</v>
      </c>
      <c r="F4" s="3">
        <v>170</v>
      </c>
      <c r="G4" s="3">
        <v>84</v>
      </c>
      <c r="H4" s="3">
        <v>200</v>
      </c>
      <c r="J4" s="3">
        <v>200</v>
      </c>
      <c r="K4" s="3">
        <v>84</v>
      </c>
      <c r="L4" s="3">
        <v>150</v>
      </c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115.69999999999999</v>
      </c>
      <c r="C5" s="3">
        <v>40</v>
      </c>
      <c r="D5" s="3">
        <v>500</v>
      </c>
      <c r="F5" s="3">
        <v>190</v>
      </c>
      <c r="G5" s="3">
        <v>84</v>
      </c>
      <c r="H5" s="3">
        <v>200</v>
      </c>
      <c r="J5" s="3">
        <v>220</v>
      </c>
      <c r="K5" s="3">
        <v>84</v>
      </c>
      <c r="L5" s="3">
        <v>250</v>
      </c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145.30000000000001</v>
      </c>
      <c r="C6" s="3">
        <v>64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S32" sqref="S32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49" t="s">
        <v>143</v>
      </c>
      <c r="C2" s="49"/>
      <c r="E2" s="45" t="s">
        <v>138</v>
      </c>
      <c r="F2" s="45"/>
      <c r="H2" s="45" t="s">
        <v>139</v>
      </c>
      <c r="I2" s="45"/>
      <c r="K2" s="45" t="s">
        <v>140</v>
      </c>
      <c r="L2" s="45"/>
      <c r="N2" s="45" t="s">
        <v>141</v>
      </c>
      <c r="O2" s="45"/>
      <c r="Q2" s="45" t="s">
        <v>142</v>
      </c>
      <c r="R2" s="45"/>
    </row>
    <row r="3" spans="2:18" x14ac:dyDescent="0.2">
      <c r="B3" s="49"/>
      <c r="C3" s="49"/>
      <c r="E3" s="38" t="s">
        <v>97</v>
      </c>
      <c r="F3" s="39">
        <v>80</v>
      </c>
      <c r="H3" s="38" t="s">
        <v>97</v>
      </c>
      <c r="I3" s="39"/>
      <c r="K3" s="38" t="s">
        <v>97</v>
      </c>
      <c r="L3" s="39"/>
      <c r="N3" s="38" t="s">
        <v>97</v>
      </c>
      <c r="O3" s="39"/>
      <c r="Q3" s="38" t="s">
        <v>97</v>
      </c>
      <c r="R3" s="39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0</v>
      </c>
      <c r="C5" s="3">
        <v>40</v>
      </c>
      <c r="E5" s="3">
        <v>320</v>
      </c>
      <c r="F5" s="3">
        <v>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115.7</v>
      </c>
      <c r="C6" s="3">
        <v>40</v>
      </c>
      <c r="E6" s="3">
        <v>320</v>
      </c>
      <c r="F6" s="3">
        <v>80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170</v>
      </c>
      <c r="C7" s="3">
        <v>84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S5" sqref="S5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0" t="s">
        <v>145</v>
      </c>
      <c r="C2" s="50"/>
      <c r="E2" s="46" t="s">
        <v>144</v>
      </c>
      <c r="F2" s="46"/>
      <c r="H2" s="46" t="s">
        <v>146</v>
      </c>
      <c r="I2" s="46"/>
      <c r="K2" s="46" t="s">
        <v>147</v>
      </c>
      <c r="L2" s="46"/>
      <c r="N2" s="46" t="s">
        <v>148</v>
      </c>
      <c r="O2" s="46"/>
      <c r="Q2" s="46" t="s">
        <v>149</v>
      </c>
      <c r="R2" s="46"/>
    </row>
    <row r="3" spans="2:18" x14ac:dyDescent="0.2">
      <c r="B3" s="50"/>
      <c r="C3" s="50"/>
      <c r="E3" s="40" t="s">
        <v>97</v>
      </c>
      <c r="F3" s="41">
        <v>80</v>
      </c>
      <c r="H3" s="40" t="s">
        <v>97</v>
      </c>
      <c r="I3" s="41"/>
      <c r="K3" s="40" t="s">
        <v>97</v>
      </c>
      <c r="L3" s="41"/>
      <c r="N3" s="40" t="s">
        <v>97</v>
      </c>
      <c r="O3" s="41"/>
      <c r="Q3" s="40" t="s">
        <v>97</v>
      </c>
      <c r="R3" s="41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0</v>
      </c>
      <c r="C5" s="3">
        <v>40</v>
      </c>
      <c r="E5" s="3">
        <v>320</v>
      </c>
      <c r="F5" s="3">
        <v>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115.7</v>
      </c>
      <c r="C6" s="3">
        <v>40</v>
      </c>
      <c r="E6" s="3">
        <v>320</v>
      </c>
      <c r="F6" s="3">
        <v>80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170</v>
      </c>
      <c r="C7" s="3">
        <v>84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profile</vt:lpstr>
      <vt:lpstr>mat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2026-01-20T16:04:29Z</dcterms:modified>
</cp:coreProperties>
</file>