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seep/"/>
    </mc:Choice>
  </mc:AlternateContent>
  <xr:revisionPtr revIDLastSave="0" documentId="13_ncr:1_{BF0CA8F5-6477-6345-B8AD-A691AFA86F38}" xr6:coauthVersionLast="47" xr6:coauthVersionMax="47" xr10:uidLastSave="{00000000-0000-0000-0000-000000000000}"/>
  <bookViews>
    <workbookView xWindow="25100" yWindow="3460" windowWidth="34200" windowHeight="20240" activeTab="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2" l="1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<sst xmlns="http://schemas.openxmlformats.org/spreadsheetml/2006/main" count="276" uniqueCount="154">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</sst>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FFFD78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0</c:v>
                </c:pt>
                <c:pt idx="1">
                  <c:v>20</c:v>
                </c:pt>
                <c:pt idx="2">
                  <c:v>29.9</c:v>
                </c:pt>
                <c:pt idx="3">
                  <c:v>30</c:v>
                </c:pt>
                <c:pt idx="4">
                  <c:v>30.1</c:v>
                </c:pt>
                <c:pt idx="5">
                  <c:v>50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7</c:v>
                </c:pt>
                <c:pt idx="4">
                  <c:v>10</c:v>
                </c:pt>
                <c:pt idx="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  <c:pt idx="0">
                  <c:v>30.1</c:v>
                </c:pt>
                <c:pt idx="1">
                  <c:v>50</c:v>
                </c:pt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D15" sqref="D15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8</v>
      </c>
    </row>
    <row r="7" spans="1:7" x14ac:dyDescent="0.2">
      <c r="B7" s="43" t="s">
        <v>47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B10" sqref="B10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95</v>
      </c>
      <c r="S7" s="44"/>
      <c r="T7" s="44"/>
      <c r="U7" s="44"/>
      <c r="V7" s="44"/>
      <c r="W7" s="44" t="s">
        <v>102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30</v>
      </c>
      <c r="S9" s="3">
        <v>30</v>
      </c>
      <c r="T9" s="3">
        <v>0</v>
      </c>
      <c r="U9" s="3">
        <v>1</v>
      </c>
      <c r="V9" s="3">
        <v>-1</v>
      </c>
      <c r="W9" s="3"/>
      <c r="X9" s="3"/>
    </row>
    <row r="10" spans="1:24" x14ac:dyDescent="0.2">
      <c r="A10" s="3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E9:F50">
    <cfRule type="expression" dxfId="12" priority="4">
      <formula>$D9="cp"</formula>
    </cfRule>
  </conditionalFormatting>
  <conditionalFormatting sqref="G9:H50">
    <cfRule type="expression" dxfId="11" priority="3">
      <formula>$D9="mc"</formula>
    </cfRule>
  </conditionalFormatting>
  <conditionalFormatting sqref="I9:J50">
    <cfRule type="expression" dxfId="10" priority="5">
      <formula>$D9="cp"</formula>
    </cfRule>
  </conditionalFormatting>
  <conditionalFormatting sqref="M9:N50">
    <cfRule type="expression" dxfId="9" priority="7">
      <formula>$D9="cp"</formula>
    </cfRule>
  </conditionalFormatting>
  <conditionalFormatting sqref="O9:O50">
    <cfRule type="expression" dxfId="8" priority="14">
      <formula>$D9="mc"</formula>
    </cfRule>
  </conditionalFormatting>
  <conditionalFormatting sqref="P9:Q50">
    <cfRule type="expression" dxfId="7" priority="9">
      <formula>$D9="cp"</formula>
    </cfRule>
  </conditionalFormatting>
  <conditionalFormatting sqref="R9:V9">
    <cfRule type="expression" dxfId="6" priority="1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H11" sqref="H1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96</v>
      </c>
    </row>
    <row r="4" spans="1:44" x14ac:dyDescent="0.2">
      <c r="A4" s="47" t="s">
        <v>2</v>
      </c>
      <c r="B4" s="47"/>
      <c r="D4" s="47" t="s">
        <v>5</v>
      </c>
      <c r="E4" s="47"/>
      <c r="G4" s="47" t="s">
        <v>6</v>
      </c>
      <c r="H4" s="47"/>
      <c r="J4" s="47" t="s">
        <v>7</v>
      </c>
      <c r="K4" s="47"/>
      <c r="M4" s="47" t="s">
        <v>8</v>
      </c>
      <c r="N4" s="47"/>
      <c r="P4" s="47" t="s">
        <v>9</v>
      </c>
      <c r="Q4" s="47"/>
      <c r="R4" s="1"/>
      <c r="S4" s="47" t="s">
        <v>10</v>
      </c>
      <c r="T4" s="47"/>
      <c r="U4" s="1"/>
      <c r="V4" s="47" t="s">
        <v>11</v>
      </c>
      <c r="W4" s="47"/>
      <c r="X4" s="1"/>
      <c r="Y4" s="47" t="s">
        <v>12</v>
      </c>
      <c r="Z4" s="47"/>
      <c r="AA4" s="1"/>
      <c r="AB4" s="47" t="s">
        <v>13</v>
      </c>
      <c r="AC4" s="47"/>
      <c r="AE4" s="47" t="s">
        <v>116</v>
      </c>
      <c r="AF4" s="47"/>
      <c r="AG4" s="1"/>
      <c r="AH4" s="47" t="s">
        <v>117</v>
      </c>
      <c r="AI4" s="47"/>
      <c r="AJ4" s="1"/>
      <c r="AK4" s="47" t="s">
        <v>118</v>
      </c>
      <c r="AL4" s="47"/>
      <c r="AM4" s="1"/>
      <c r="AN4" s="47" t="s">
        <v>119</v>
      </c>
      <c r="AO4" s="47"/>
      <c r="AP4" s="1"/>
      <c r="AQ4" s="47" t="s">
        <v>120</v>
      </c>
      <c r="AR4" s="47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3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5" t="str">
        <f>_xlfn.XLOOKUP(B5,mat!$A:$A, mat!$B:$B,"") &amp; ""</f>
        <v>soil</v>
      </c>
      <c r="B6" s="46"/>
      <c r="D6" s="45" t="str">
        <f>_xlfn.XLOOKUP(E5,mat!$A:$A, mat!$B:$B,"") &amp; ""</f>
        <v/>
      </c>
      <c r="E6" s="46"/>
      <c r="G6" s="45" t="str">
        <f>_xlfn.XLOOKUP(H5,mat!$A:$A, mat!$B:$B,"") &amp; ""</f>
        <v/>
      </c>
      <c r="H6" s="46"/>
      <c r="J6" s="45" t="str">
        <f>_xlfn.XLOOKUP(K5,mat!$A:$A, mat!$B:$B,"") &amp; ""</f>
        <v/>
      </c>
      <c r="K6" s="46"/>
      <c r="M6" s="45" t="str">
        <f>_xlfn.XLOOKUP(N5,mat!$A:$A, mat!$B:$B,"") &amp; ""</f>
        <v/>
      </c>
      <c r="N6" s="46"/>
      <c r="P6" s="45" t="str">
        <f>_xlfn.XLOOKUP(Q5,mat!$A:$A, mat!$B:$B,"") &amp; ""</f>
        <v/>
      </c>
      <c r="Q6" s="46"/>
      <c r="R6" s="1"/>
      <c r="S6" s="45" t="str">
        <f>_xlfn.XLOOKUP(T5,mat!$A:$A, mat!$B:$B,"") &amp; ""</f>
        <v/>
      </c>
      <c r="T6" s="46"/>
      <c r="U6" s="1"/>
      <c r="V6" s="45" t="str">
        <f>_xlfn.XLOOKUP(W5,mat!$A:$A, mat!$B:$B,"") &amp; ""</f>
        <v/>
      </c>
      <c r="W6" s="46"/>
      <c r="X6" s="1"/>
      <c r="Y6" s="45" t="str">
        <f>_xlfn.XLOOKUP(Z5,mat!$A:$A, mat!$B:$B,"") &amp; ""</f>
        <v/>
      </c>
      <c r="Z6" s="46"/>
      <c r="AA6" s="1"/>
      <c r="AB6" s="45" t="str">
        <f>_xlfn.XLOOKUP(AC5,mat!$A:$A, mat!$B:$B,"") &amp; ""</f>
        <v/>
      </c>
      <c r="AC6" s="46"/>
      <c r="AE6" s="45" t="str">
        <f>_xlfn.XLOOKUP(AF5,mat!$A:$A, mat!$B:$B,"") &amp; ""</f>
        <v/>
      </c>
      <c r="AF6" s="46"/>
      <c r="AG6" s="1"/>
      <c r="AH6" s="45" t="str">
        <f>_xlfn.XLOOKUP(AI5,mat!$A:$A, mat!$B:$B,"") &amp; ""</f>
        <v/>
      </c>
      <c r="AI6" s="46"/>
      <c r="AJ6" s="1"/>
      <c r="AK6" s="45" t="str">
        <f>_xlfn.XLOOKUP(AL5,mat!$A:$A, mat!$B:$B,"") &amp; ""</f>
        <v/>
      </c>
      <c r="AL6" s="46"/>
      <c r="AM6" s="1"/>
      <c r="AN6" s="45" t="str">
        <f>_xlfn.XLOOKUP(AO5,mat!$A:$A, mat!$B:$B,"") &amp; ""</f>
        <v/>
      </c>
      <c r="AO6" s="46"/>
      <c r="AP6" s="1"/>
      <c r="AQ6" s="45" t="str">
        <f>_xlfn.XLOOKUP(AR5,mat!$A:$A, mat!$B:$B,"") &amp; ""</f>
        <v/>
      </c>
      <c r="AR6" s="46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</v>
      </c>
      <c r="B8" s="3">
        <v>10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20</v>
      </c>
      <c r="B9" s="3">
        <v>10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29.9</v>
      </c>
      <c r="B10" s="3">
        <v>10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30</v>
      </c>
      <c r="B11" s="3">
        <v>7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30.1</v>
      </c>
      <c r="B12" s="3">
        <v>10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50</v>
      </c>
      <c r="B13" s="3">
        <v>10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I20" sqref="I20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86</v>
      </c>
      <c r="B2" s="48"/>
      <c r="D2" s="49" t="s">
        <v>84</v>
      </c>
      <c r="E2" s="49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tabSelected="1" zoomScale="140" zoomScaleNormal="140" workbookViewId="0">
      <selection activeCell="D3" sqref="D3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F9084CCC-63E5-7D4E-9361-772493B1A64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L6" sqref="L6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129</v>
      </c>
      <c r="C2" s="50"/>
      <c r="D2" s="50"/>
      <c r="F2" s="50" t="s">
        <v>130</v>
      </c>
      <c r="G2" s="50"/>
      <c r="H2" s="50"/>
      <c r="J2" s="50" t="s">
        <v>131</v>
      </c>
      <c r="K2" s="50"/>
      <c r="L2" s="50"/>
      <c r="N2" s="50" t="s">
        <v>132</v>
      </c>
      <c r="O2" s="50"/>
      <c r="P2" s="50"/>
      <c r="R2" s="50" t="s">
        <v>133</v>
      </c>
      <c r="S2" s="50"/>
      <c r="T2" s="50"/>
      <c r="V2" s="50" t="s">
        <v>134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L6" sqref="L6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147</v>
      </c>
      <c r="C2" s="51"/>
      <c r="D2" s="51"/>
      <c r="F2" s="51" t="s">
        <v>148</v>
      </c>
      <c r="G2" s="51"/>
      <c r="H2" s="51"/>
      <c r="J2" s="51" t="s">
        <v>149</v>
      </c>
      <c r="K2" s="51"/>
      <c r="L2" s="51"/>
      <c r="N2" s="51" t="s">
        <v>150</v>
      </c>
      <c r="O2" s="51"/>
      <c r="P2" s="51"/>
      <c r="R2" s="51" t="s">
        <v>151</v>
      </c>
      <c r="S2" s="51"/>
      <c r="T2" s="51"/>
      <c r="V2" s="51" t="s">
        <v>152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E12" sqref="E12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140</v>
      </c>
      <c r="C2" s="52"/>
      <c r="E2" s="48" t="s">
        <v>135</v>
      </c>
      <c r="F2" s="48"/>
      <c r="H2" s="48" t="s">
        <v>136</v>
      </c>
      <c r="I2" s="48"/>
      <c r="K2" s="48" t="s">
        <v>137</v>
      </c>
      <c r="L2" s="48"/>
      <c r="N2" s="48" t="s">
        <v>138</v>
      </c>
      <c r="O2" s="48"/>
      <c r="Q2" s="48" t="s">
        <v>139</v>
      </c>
      <c r="R2" s="48"/>
    </row>
    <row r="3" spans="2:18" x14ac:dyDescent="0.2">
      <c r="B3" s="52"/>
      <c r="C3" s="52"/>
      <c r="E3" s="37" t="s">
        <v>97</v>
      </c>
      <c r="F3" s="38">
        <v>13</v>
      </c>
      <c r="H3" s="37" t="s">
        <v>97</v>
      </c>
      <c r="I3" s="38">
        <v>20</v>
      </c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>
        <v>0</v>
      </c>
      <c r="F5" s="3">
        <v>10</v>
      </c>
      <c r="H5" s="3">
        <v>30.1</v>
      </c>
      <c r="I5" s="3">
        <v>10</v>
      </c>
      <c r="K5" s="3"/>
      <c r="L5" s="3"/>
      <c r="N5" s="3"/>
      <c r="O5" s="3"/>
      <c r="Q5" s="3"/>
      <c r="R5" s="3"/>
    </row>
    <row r="6" spans="2:18" x14ac:dyDescent="0.2">
      <c r="B6" s="3"/>
      <c r="C6" s="3"/>
      <c r="E6" s="3">
        <v>20</v>
      </c>
      <c r="F6" s="3">
        <v>10</v>
      </c>
      <c r="H6" s="3">
        <v>50</v>
      </c>
      <c r="I6" s="3">
        <v>10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9" sqref="F9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142</v>
      </c>
      <c r="C2" s="53"/>
      <c r="E2" s="49" t="s">
        <v>141</v>
      </c>
      <c r="F2" s="49"/>
      <c r="H2" s="49" t="s">
        <v>143</v>
      </c>
      <c r="I2" s="49"/>
      <c r="K2" s="49" t="s">
        <v>144</v>
      </c>
      <c r="L2" s="49"/>
      <c r="N2" s="49" t="s">
        <v>145</v>
      </c>
      <c r="O2" s="49"/>
      <c r="Q2" s="49" t="s">
        <v>146</v>
      </c>
      <c r="R2" s="49"/>
    </row>
    <row r="3" spans="2:18" x14ac:dyDescent="0.2">
      <c r="B3" s="53"/>
      <c r="C3" s="53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2026-01-23T15:19:11Z</dcterms:modified>
</cp:coreProperties>
</file>