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82F0B280-5661-094C-99FB-6503E51D148C}" xr6:coauthVersionLast="47" xr6:coauthVersionMax="47" xr10:uidLastSave="{00000000-0000-0000-0000-000000000000}"/>
  <bookViews>
    <workbookView xWindow="26000" yWindow="31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<sst xmlns="http://schemas.openxmlformats.org/spreadsheetml/2006/main" count="286" uniqueCount="156">
  <si>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</si>
  <si>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</si>
  <si>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</si>
  <si>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</si>
  <si>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</si>
  <si>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</si>
  <si>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</si>
  <si>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</si>
  <si>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</si>
  <si>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</si>
  <si>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</si>
  <si>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</si>
  <si>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</si>
  <si>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</si>
  <si>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</si>
  <si>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</si>
  <si>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</si>
  <si>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</si>
  <si>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</si>
  <si>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</si>
  <si>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</si>
  <si>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</si>
  <si>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</si>
  <si>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</si>
  <si>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</si>
  <si>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</si>
  <si>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</si>
  <si>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</si>
  <si>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</si>
  <si>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</si>
  <si>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</si>
  <si>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</si>
  <si>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</si>
  <si>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</si>
  <si>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</si>
  <si>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</si>
  <si>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</si>
  <si>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</si>
  <si>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</si>
  <si>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</si>
  <si>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</si>
  <si>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</si>
  <si>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</si>
  <si>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</si>
  <si>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</si>
  <si>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</si>
  <si>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</si>
  <si>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</si>
  <si>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</si>
  <si>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</si>
  <si>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</si>
  <si>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</si>
  <si>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</si>
  <si>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</si>
  <si>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</si>
  <si>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</si>
  <si>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</si>
  <si>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</si>
  <si>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</si>
  <si>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</si>
  <si>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</si>
  <si>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</si>
  <si>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</si>
  <si>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</si>
  <si>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</si>
  <si>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</si>
  <si>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</si>
  <si>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</si>
  <si>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</si>
  <si>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</si>
  <si>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</si>
  <si>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</si>
  <si>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</si>
  <si>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</si>
  <si>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</si>
  <si>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</si>
  <si>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</si>
  <si>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</si>
  <si>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</si>
  <si>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</si>
  <si>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</si>
  <si>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</si>
  <si>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</si>
  <si>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</si>
  <si>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</si>
  <si>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</si>
  <si>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</si>
  <si>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</si>
  <si>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</si>
  <si>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</si>
  <si>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</si>
  <si>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</si>
  <si>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</si>
  <si>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</si>
  <si>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</si>
  <si>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</si>
  <si>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</si>
  <si>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</si>
  <si>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</si>
  <si>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</si>
  <si>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</si>
  <si>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</si>
  <si>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</si>
  <si>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</si>
  <si>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</si>
  <si>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</si>
  <si>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</si>
  <si>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</si>
  <si>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</si>
  <si>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</si>
  <si>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</si>
  <si>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</si>
  <si>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</si>
  <si>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</si>
  <si>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</si>
  <si>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</si>
  <si>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</si>
  <si>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</si>
  <si>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</si>
  <si>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</si>
  <si>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</si>
  <si>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</si>
  <si>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</si>
  <si>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</si>
  <si>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</si>
  <si>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</si>
  <si>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</si>
  <si>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</si>
  <si>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</si>
  <si>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</si>
  <si>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</si>
  <si>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</si>
  <si>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</si>
  <si>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</si>
  <si>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</si>
  <si>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</si>
  <si>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</si>
  <si>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</si>
  <si>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</si>
  <si>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</si>
  <si>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</si>
  <si>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</si>
  <si>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</si>
  <si>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</si>
  <si>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</si>
  <si>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</si>
  <si>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</si>
  <si>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</si>
  <si>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</si>
  <si>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</si>
  <si>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</si>
  <si>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</si>
  <si>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</si>
  <si>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</si>
  <si>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Sand</t>
  </si>
  <si>
    <t>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</si>
</sst>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145.30000000000001</c:v>
                </c:pt>
                <c:pt idx="1">
                  <c:v>170</c:v>
                </c:pt>
                <c:pt idx="2">
                  <c:v>320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64</c:v>
                </c:pt>
                <c:pt idx="1">
                  <c:v>84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115.69999999999999</c:v>
                </c:pt>
                <c:pt idx="1">
                  <c:v>145.30000000000001</c:v>
                </c:pt>
                <c:pt idx="2">
                  <c:v>320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64</c:v>
                </c:pt>
                <c:pt idx="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0</c:v>
                </c:pt>
                <c:pt idx="1">
                  <c:v>115.69999999999999</c:v>
                </c:pt>
                <c:pt idx="2">
                  <c:v>130.5</c:v>
                </c:pt>
                <c:pt idx="3">
                  <c:v>150</c:v>
                </c:pt>
                <c:pt idx="4">
                  <c:v>180</c:v>
                </c:pt>
                <c:pt idx="5">
                  <c:v>208</c:v>
                </c:pt>
                <c:pt idx="6">
                  <c:v>245</c:v>
                </c:pt>
                <c:pt idx="7">
                  <c:v>320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40</c:v>
                </c:pt>
                <c:pt idx="1">
                  <c:v>40</c:v>
                </c:pt>
                <c:pt idx="2">
                  <c:v>52</c:v>
                </c:pt>
                <c:pt idx="3">
                  <c:v>61</c:v>
                </c:pt>
                <c:pt idx="4">
                  <c:v>70</c:v>
                </c:pt>
                <c:pt idx="5">
                  <c:v>76</c:v>
                </c:pt>
                <c:pt idx="6">
                  <c:v>79</c:v>
                </c:pt>
                <c:pt idx="7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0</c:v>
                </c:pt>
                <c:pt idx="1">
                  <c:v>115.7</c:v>
                </c:pt>
                <c:pt idx="2">
                  <c:v>170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  <c:pt idx="2">
                  <c:v>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320</c:v>
                </c:pt>
                <c:pt idx="1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1" sqref="C2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E1" zoomScale="140" zoomScaleNormal="140" workbookViewId="0">
      <selection activeCell="R15" sqref="R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200</v>
      </c>
      <c r="F9" s="3">
        <v>28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1E-4</v>
      </c>
      <c r="V9" s="3">
        <v>-1</v>
      </c>
      <c r="W9" s="3">
        <v>1000000</v>
      </c>
      <c r="X9" s="3">
        <v>0.35</v>
      </c>
    </row>
    <row r="10" spans="1:24" x14ac:dyDescent="0.2">
      <c r="A10" s="3">
        <v>2</v>
      </c>
      <c r="B10" s="3" t="s">
        <v>154</v>
      </c>
      <c r="C10" s="3">
        <v>120</v>
      </c>
      <c r="D10" s="3" t="s">
        <v>67</v>
      </c>
      <c r="E10" s="3">
        <v>100</v>
      </c>
      <c r="F10" s="3">
        <v>32</v>
      </c>
      <c r="G10" s="3"/>
      <c r="H10" s="3"/>
      <c r="I10" s="3"/>
      <c r="J10" s="3"/>
      <c r="K10" s="3" t="s">
        <v>21</v>
      </c>
      <c r="L10" s="3"/>
      <c r="M10" s="3"/>
      <c r="N10" s="3"/>
      <c r="O10" s="3"/>
      <c r="P10" s="3"/>
      <c r="Q10" s="3"/>
      <c r="R10" s="3">
        <v>1</v>
      </c>
      <c r="S10" s="3">
        <v>1</v>
      </c>
      <c r="T10" s="3">
        <v>0</v>
      </c>
      <c r="U10" s="3">
        <v>1E-4</v>
      </c>
      <c r="V10" s="3">
        <v>-1</v>
      </c>
      <c r="W10" s="3">
        <v>1000000</v>
      </c>
      <c r="X10" s="3">
        <v>0.35</v>
      </c>
    </row>
    <row r="11" spans="1:24" x14ac:dyDescent="0.2">
      <c r="A11" s="3">
        <v>3</v>
      </c>
      <c r="B11" s="3" t="s">
        <v>155</v>
      </c>
      <c r="C11" s="3">
        <v>132</v>
      </c>
      <c r="D11" s="3" t="s">
        <v>67</v>
      </c>
      <c r="E11" s="3">
        <v>400</v>
      </c>
      <c r="F11" s="3">
        <v>27</v>
      </c>
      <c r="G11" s="3"/>
      <c r="H11" s="3"/>
      <c r="I11" s="3"/>
      <c r="J11" s="3"/>
      <c r="K11" s="3" t="s">
        <v>21</v>
      </c>
      <c r="L11" s="3"/>
      <c r="M11" s="3"/>
      <c r="N11" s="3"/>
      <c r="O11" s="3"/>
      <c r="P11" s="3"/>
      <c r="Q11" s="3"/>
      <c r="R11" s="3">
        <v>0.01</v>
      </c>
      <c r="S11" s="3">
        <v>0.01</v>
      </c>
      <c r="T11" s="3">
        <v>0</v>
      </c>
      <c r="U11" s="3">
        <v>1E-4</v>
      </c>
      <c r="V11" s="3">
        <v>-1</v>
      </c>
      <c r="W11" s="3">
        <v>500000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2">
      <formula>$D9="cp"</formula>
    </cfRule>
  </conditionalFormatting>
  <conditionalFormatting sqref="G9:H50">
    <cfRule type="expression" dxfId="8" priority="4">
      <formula>$D9="mc"</formula>
    </cfRule>
  </conditionalFormatting>
  <conditionalFormatting sqref="I9:J50">
    <cfRule type="expression" dxfId="7" priority="6">
      <formula>$D9="cp"</formula>
    </cfRule>
  </conditionalFormatting>
  <conditionalFormatting sqref="M9:N50">
    <cfRule type="expression" dxfId="6" priority="8">
      <formula>$D9="cp"</formula>
    </cfRule>
  </conditionalFormatting>
  <conditionalFormatting sqref="O9:O50">
    <cfRule type="expression" dxfId="5" priority="15">
      <formula>$D9="mc"</formula>
    </cfRule>
  </conditionalFormatting>
  <conditionalFormatting sqref="P9:Q50">
    <cfRule type="expression" dxfId="4" priority="10">
      <formula>$D9="cp"</formula>
    </cfRule>
  </conditionalFormatting>
  <conditionalFormatting sqref="R9:V11">
    <cfRule type="expression" dxfId="3" priority="1">
      <formula>$D9="cp"</formula>
    </cfRule>
  </conditionalFormatting>
  <dataValidations count="4">
    <dataValidation type="list" allowBlank="1" showInputMessage="1" showErrorMessage="1" sqref="D12:D50" xr:uid="{374AFD2C-B540-DD4B-A245-8B781F76E64C}">
      <formula1>$C$3:$C$4</formula1>
    </dataValidation>
    <dataValidation type="list" allowBlank="1" showInputMessage="1" showErrorMessage="1" sqref="K12:K50" xr:uid="{D770415C-1ECE-F44B-9D8C-08EF1CF31C8E}">
      <formula1>$J$3:$J$5</formula1>
    </dataValidation>
    <dataValidation type="list" allowBlank="1" showInputMessage="1" showErrorMessage="1" sqref="D9:D11" xr:uid="{7C34B8D8-CE0D-EA49-B26D-EC90AE679C28}">
      <formula1>$S$6:$S$7</formula1>
    </dataValidation>
    <dataValidation type="list" allowBlank="1" showInputMessage="1" showErrorMessage="1" sqref="K9:K11" xr:uid="{5108E24E-F616-6640-88F7-0E8E6EC89EF9}">
      <formula1>$C$26:$C$28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2" sqref="C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Silt</v>
      </c>
      <c r="B6" s="46"/>
      <c r="D6" s="45" t="str">
        <f>_xlfn.XLOOKUP(E5,mat!$A:$A, mat!$B:$B,"") &amp; ""</f>
        <v>Sand</v>
      </c>
      <c r="E6" s="46"/>
      <c r="G6" s="45" t="str">
        <f>_xlfn.XLOOKUP(H5,mat!$A:$A, mat!$B:$B,"") &amp; ""</f>
        <v>Clay</v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145.30000000000001</v>
      </c>
      <c r="B8" s="3">
        <v>64</v>
      </c>
      <c r="D8" s="3">
        <v>115.69999999999999</v>
      </c>
      <c r="E8" s="3">
        <v>40</v>
      </c>
      <c r="G8" s="3">
        <v>0</v>
      </c>
      <c r="H8" s="3">
        <v>40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</v>
      </c>
      <c r="B9" s="3">
        <v>84</v>
      </c>
      <c r="D9" s="3">
        <v>145.30000000000001</v>
      </c>
      <c r="E9" s="3">
        <v>64</v>
      </c>
      <c r="G9" s="3">
        <v>320</v>
      </c>
      <c r="H9" s="3">
        <v>40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84</v>
      </c>
      <c r="D10" s="3">
        <v>320</v>
      </c>
      <c r="E10" s="3">
        <v>64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</v>
      </c>
      <c r="B4" s="3">
        <v>40</v>
      </c>
      <c r="D4" s="3"/>
      <c r="E4" s="3"/>
    </row>
    <row r="5" spans="1:7" x14ac:dyDescent="0.2">
      <c r="A5" s="3">
        <v>115.69999999999999</v>
      </c>
      <c r="B5" s="3">
        <v>40</v>
      </c>
      <c r="D5" s="3"/>
      <c r="E5" s="3"/>
    </row>
    <row r="6" spans="1:7" x14ac:dyDescent="0.2">
      <c r="A6" s="3">
        <v>130.5</v>
      </c>
      <c r="B6" s="3">
        <v>52</v>
      </c>
      <c r="D6" s="3"/>
      <c r="E6" s="3"/>
    </row>
    <row r="7" spans="1:7" x14ac:dyDescent="0.2">
      <c r="A7" s="3">
        <v>150</v>
      </c>
      <c r="B7" s="3">
        <v>61</v>
      </c>
      <c r="D7" s="3"/>
      <c r="E7" s="3"/>
    </row>
    <row r="8" spans="1:7" x14ac:dyDescent="0.2">
      <c r="A8" s="3">
        <v>180</v>
      </c>
      <c r="B8" s="3">
        <v>70</v>
      </c>
      <c r="D8" s="3"/>
      <c r="E8" s="3"/>
    </row>
    <row r="9" spans="1:7" x14ac:dyDescent="0.2">
      <c r="A9" s="3">
        <v>208</v>
      </c>
      <c r="B9" s="3">
        <v>76</v>
      </c>
      <c r="D9" s="3"/>
      <c r="E9" s="3"/>
    </row>
    <row r="10" spans="1:7" x14ac:dyDescent="0.2">
      <c r="A10" s="3">
        <v>245</v>
      </c>
      <c r="B10" s="3">
        <v>79</v>
      </c>
      <c r="D10" s="3"/>
      <c r="E10" s="3"/>
    </row>
    <row r="11" spans="1:7" x14ac:dyDescent="0.2">
      <c r="A11" s="3">
        <v>320</v>
      </c>
      <c r="B11" s="3">
        <v>80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19" sqref="C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145</v>
      </c>
      <c r="C3" s="17">
        <v>100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145</v>
      </c>
      <c r="C4" s="19">
        <v>120</v>
      </c>
      <c r="D4" s="3" t="s">
        <v>26</v>
      </c>
      <c r="E4" s="3">
        <v>40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F8EA5FCC-0AB6-6547-B91B-11E819E161EF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80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</v>
      </c>
      <c r="C5" s="3">
        <v>40</v>
      </c>
      <c r="E5" s="3">
        <v>320</v>
      </c>
      <c r="F5" s="3">
        <v>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</v>
      </c>
      <c r="E6" s="3">
        <v>320</v>
      </c>
      <c r="F6" s="3">
        <v>80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</v>
      </c>
      <c r="C7" s="3">
        <v>84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2026-02-11T19:39:23Z</dcterms:modified>
</cp:coreProperties>
</file>