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<sst xmlns="http://schemas.openxmlformats.org/spreadsheetml/2006/main" count="624" uniqueCount="329">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</sst>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Silt</t>
        </is>
      </c>
      <c r="C11" s="3">
        <v>130.0</v>
      </c>
      <c r="D11" s="3">
        <v>135.0</v>
      </c>
      <c r="E11" s="3" t="inlineStr">
        <is>
          <t>mc</t>
        </is>
      </c>
      <c r="F11" s="3">
        <v>200.0</v>
      </c>
      <c r="G11" s="3">
        <v>28.0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0.35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0.5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Sand</t>
        </is>
      </c>
      <c r="C12" s="3">
        <v>120.0</v>
      </c>
      <c r="D12" s="3">
        <v>125.0</v>
      </c>
      <c r="E12" s="3" t="inlineStr">
        <is>
          <t>mc</t>
        </is>
      </c>
      <c r="F12" s="3">
        <v>100.0</v>
      </c>
      <c r="G12" s="3">
        <v>32.0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1000000.0</v>
      </c>
      <c r="N12" s="3">
        <v>0.35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1.0</v>
      </c>
      <c r="AH12" s="3">
        <v>1.0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</t>
        </is>
      </c>
      <c r="C13" s="3">
        <v>132.0</v>
      </c>
      <c r="D13" s="3">
        <v>137.0</v>
      </c>
      <c r="E13" s="3" t="inlineStr">
        <is>
          <t>mc</t>
        </is>
      </c>
      <c r="F13" s="3">
        <v>400.0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500000.0</v>
      </c>
      <c r="N13" s="3">
        <v>0.35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0.01</v>
      </c>
      <c r="AH13" s="3">
        <v>0.01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Silt</v>
      </c>
      <c r="B6" s="57"/>
      <c r="D6" s="56" t="str">
        <f>_xlfn.XLOOKUP(E5,mat!$A:$A, mat!$B:$B,"") &amp; ""</f>
        <v>Sand</v>
      </c>
      <c r="E6" s="57"/>
      <c r="G6" s="56" t="str">
        <f>_xlfn.XLOOKUP(H5,mat!$A:$A, mat!$B:$B,"") &amp; ""</f>
        <v>Clay</v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145.3</v>
      </c>
      <c r="B9" s="3">
        <v>64.0</v>
      </c>
      <c r="D9" s="3">
        <v>115.7</v>
      </c>
      <c r="E9" s="3">
        <v>40.0</v>
      </c>
      <c r="G9" s="3">
        <v>0.0</v>
      </c>
      <c r="H9" s="3">
        <v>40.0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170.0</v>
      </c>
      <c r="B10" s="3">
        <v>84.0</v>
      </c>
      <c r="D10" s="3">
        <v>145.3</v>
      </c>
      <c r="E10" s="3">
        <v>64.0</v>
      </c>
      <c r="G10" s="3">
        <v>320.0</v>
      </c>
      <c r="H10" s="3">
        <v>40.0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320.0</v>
      </c>
      <c r="B11" s="3">
        <v>84.0</v>
      </c>
      <c r="D11" s="3">
        <v>320.0</v>
      </c>
      <c r="E11" s="3">
        <v>64.0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Silt</v>
      </c>
      <c r="B7" s="57"/>
      <c r="D7" s="58" t="str">
        <f>IF(OR(E5="",E5="material"),_xlfn.XLOOKUP(E6,mat!$A:$A, mat!$B:$B,"") &amp; "","")</f>
        <v>Sand</v>
      </c>
      <c r="E7" s="57"/>
      <c r="G7" s="58" t="str">
        <f>IF(OR(H5="",H5="material"),_xlfn.XLOOKUP(H6,mat!$A:$A, mat!$B:$B,"") &amp; "","")</f>
        <v>Clay</v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40.0</v>
      </c>
      <c r="D5" s="3"/>
      <c r="E5" s="3"/>
      <c r="G5" s="1" t="s">
        <v>18</v>
      </c>
      <c r="H5" t="s">
        <v>190</v>
      </c>
    </row>
    <row r="6" spans="1:8" x14ac:dyDescent="0.2">
      <c r="A6" s="3">
        <v>115.7</v>
      </c>
      <c r="B6" s="3">
        <v>40.0</v>
      </c>
      <c r="D6" s="3"/>
      <c r="E6" s="3"/>
      <c r="G6" s="1" t="s">
        <v>191</v>
      </c>
      <c r="H6" t="s">
        <v>192</v>
      </c>
    </row>
    <row r="7" spans="1:8" x14ac:dyDescent="0.2">
      <c r="A7" s="3">
        <v>130.5</v>
      </c>
      <c r="B7" s="3">
        <v>52.0</v>
      </c>
      <c r="D7" s="3"/>
      <c r="E7" s="3"/>
    </row>
    <row r="8" spans="1:8" x14ac:dyDescent="0.2">
      <c r="A8" s="3">
        <v>150.0</v>
      </c>
      <c r="B8" s="3">
        <v>61.0</v>
      </c>
      <c r="D8" s="3"/>
      <c r="E8" s="3"/>
    </row>
    <row r="9" spans="1:8" x14ac:dyDescent="0.2">
      <c r="A9" s="3">
        <v>180.0</v>
      </c>
      <c r="B9" s="3">
        <v>70.0</v>
      </c>
      <c r="D9" s="3"/>
      <c r="E9" s="3"/>
    </row>
    <row r="10" spans="1:8" x14ac:dyDescent="0.2">
      <c r="A10" s="3">
        <v>208.0</v>
      </c>
      <c r="B10" s="3">
        <v>76.0</v>
      </c>
      <c r="D10" s="3"/>
      <c r="E10" s="3"/>
    </row>
    <row r="11" spans="1:8" x14ac:dyDescent="0.2">
      <c r="A11" s="3">
        <v>245.0</v>
      </c>
      <c r="B11" s="3">
        <v>79.0</v>
      </c>
      <c r="D11" s="3"/>
      <c r="E11" s="3"/>
    </row>
    <row r="12" spans="1:8" x14ac:dyDescent="0.2">
      <c r="A12" s="3">
        <v>320.0</v>
      </c>
      <c r="B12" s="3">
        <v>80.0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145.0</v>
      </c>
      <c r="C3" s="3">
        <v>100.0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145.0</v>
      </c>
      <c r="C4" s="3">
        <v>120.0</v>
      </c>
      <c r="D4" s="3" t="inlineStr">
        <is>
          <t>Depth</t>
        </is>
      </c>
      <c r="E4" s="3">
        <v>40.0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80.0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0.0</v>
      </c>
      <c r="C5" s="3">
        <v>40.0</v>
      </c>
      <c r="E5" s="3">
        <v>320.0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115.7</v>
      </c>
      <c r="C6" s="3">
        <v>40.0</v>
      </c>
      <c r="E6" s="3">
        <v>320.0</v>
      </c>
      <c r="F6" s="3">
        <v>80.0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170.0</v>
      </c>
      <c r="C7" s="3">
        <v>84.0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