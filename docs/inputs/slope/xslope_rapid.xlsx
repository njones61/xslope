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<sst xmlns="http://schemas.openxmlformats.org/spreadsheetml/2006/main" count="594" uniqueCount="311">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</sst>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Imperial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112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134</v>
      </c>
      <c r="AB10" s="46" t="s">
        <v>135</v>
      </c>
      <c r="AC10" s="47" t="s">
        <v>136</v>
      </c>
      <c r="AD10" s="46" t="s">
        <v>137</v>
      </c>
      <c r="AE10" s="46" t="s">
        <v>138</v>
      </c>
      <c r="AF10" s="47" t="s">
        <v>139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Shell</t>
        </is>
      </c>
      <c r="C11" s="3">
        <v>125.0</v>
      </c>
      <c r="D11" s="3"/>
      <c r="E11" s="3" t="inlineStr">
        <is>
          <t>mc</t>
        </is>
      </c>
      <c r="F11" s="3">
        <v>0.0</v>
      </c>
      <c r="G11" s="3">
        <v>34.0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0.0</v>
      </c>
      <c r="N11" s="3">
        <v>0.0</v>
      </c>
      <c r="O11" s="3" t="inlineStr">
        <is>
          <t>piezo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Core</t>
        </is>
      </c>
      <c r="C12" s="3">
        <v>122.0</v>
      </c>
      <c r="D12" s="3"/>
      <c r="E12" s="3" t="inlineStr">
        <is>
          <t>mc</t>
        </is>
      </c>
      <c r="F12" s="3">
        <v>100.0</v>
      </c>
      <c r="G12" s="3">
        <v>26.0</v>
      </c>
      <c r="H12" s="3">
        <v>0.0</v>
      </c>
      <c r="I12" s="3">
        <v>0.0</v>
      </c>
      <c r="J12" s="3">
        <v>300.0</v>
      </c>
      <c r="K12" s="3">
        <v>20.0</v>
      </c>
      <c r="L12" s="3"/>
      <c r="M12" s="3">
        <v>0.0</v>
      </c>
      <c r="N12" s="3">
        <v>0.0</v>
      </c>
      <c r="O12" s="3" t="inlineStr">
        <is>
          <t>piezo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 t="inlineStr">
        <is>
          <t>Clay</t>
        </is>
      </c>
      <c r="C13" s="3">
        <v>123.0</v>
      </c>
      <c r="D13" s="3"/>
      <c r="E13" s="3" t="inlineStr">
        <is>
          <t>mc</t>
        </is>
      </c>
      <c r="F13" s="3">
        <v>0.0</v>
      </c>
      <c r="G13" s="3">
        <v>24.0</v>
      </c>
      <c r="H13" s="3">
        <v>0.0</v>
      </c>
      <c r="I13" s="3">
        <v>0.0</v>
      </c>
      <c r="J13" s="3">
        <v>100.0</v>
      </c>
      <c r="K13" s="3">
        <v>19.0</v>
      </c>
      <c r="L13" s="3"/>
      <c r="M13" s="3">
        <v>0.0</v>
      </c>
      <c r="N13" s="3">
        <v>0.0</v>
      </c>
      <c r="O13" s="3" t="inlineStr">
        <is>
          <t>piezo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0.0</v>
      </c>
      <c r="AB13" s="3">
        <v>0.0</v>
      </c>
      <c r="AC13" s="3">
        <v>0.0</v>
      </c>
      <c r="AD13" s="3">
        <v>0.0</v>
      </c>
      <c r="AE13" s="3">
        <v>0.0</v>
      </c>
      <c r="AF13" s="3">
        <v>0.0</v>
      </c>
      <c r="AG13" s="3">
        <v>0.0</v>
      </c>
      <c r="AH13" s="3">
        <v>0.0</v>
      </c>
      <c r="AI13" s="3">
        <v>0.0</v>
      </c>
      <c r="AJ13" s="3" t="inlineStr">
        <is>
          <t>lf</t>
        </is>
      </c>
      <c r="AK13" s="3">
        <v>0.0</v>
      </c>
      <c r="AL13" s="3">
        <v>0.0</v>
      </c>
      <c r="AM13" s="18">
        <v>0.0</v>
      </c>
      <c r="AN13" s="19">
        <v>0.0</v>
      </c>
      <c r="AO13" s="19"/>
      <c r="AP13" s="19"/>
    </row>
    <row r="14" spans="1:42" x14ac:dyDescent="0.2">
      <c r="A14" s="3">
        <v>4</v>
      </c>
      <c r="B14" s="3" t="inlineStr">
        <is>
          <t>Sand</t>
        </is>
      </c>
      <c r="C14" s="3">
        <v>127.0</v>
      </c>
      <c r="D14" s="3"/>
      <c r="E14" s="3" t="inlineStr">
        <is>
          <t>mc</t>
        </is>
      </c>
      <c r="F14" s="3">
        <v>0.0</v>
      </c>
      <c r="G14" s="3">
        <v>32.0</v>
      </c>
      <c r="H14" s="3">
        <v>0.0</v>
      </c>
      <c r="I14" s="3">
        <v>0.0</v>
      </c>
      <c r="J14" s="3">
        <v>0.0</v>
      </c>
      <c r="K14" s="3">
        <v>0.0</v>
      </c>
      <c r="L14" s="3"/>
      <c r="M14" s="3">
        <v>0.0</v>
      </c>
      <c r="N14" s="3">
        <v>0.0</v>
      </c>
      <c r="O14" s="3" t="inlineStr">
        <is>
          <t>piezo</t>
        </is>
      </c>
      <c r="P14" s="3">
        <v>0.0</v>
      </c>
      <c r="Q14" s="3"/>
      <c r="R14" s="3"/>
      <c r="S14" s="3">
        <v>0.0</v>
      </c>
      <c r="T14" s="3">
        <v>0.0</v>
      </c>
      <c r="U14" s="3">
        <v>0.0</v>
      </c>
      <c r="V14" s="3">
        <v>0.0</v>
      </c>
      <c r="W14" s="3">
        <v>0.0</v>
      </c>
      <c r="X14" s="3">
        <v>0.0</v>
      </c>
      <c r="Y14" s="3">
        <v>0.0</v>
      </c>
      <c r="Z14" s="3">
        <v>0.0</v>
      </c>
      <c r="AA14" s="3">
        <v>0.0</v>
      </c>
      <c r="AB14" s="3">
        <v>0.0</v>
      </c>
      <c r="AC14" s="3">
        <v>0.0</v>
      </c>
      <c r="AD14" s="3">
        <v>0.0</v>
      </c>
      <c r="AE14" s="3">
        <v>0.0</v>
      </c>
      <c r="AF14" s="3">
        <v>0.0</v>
      </c>
      <c r="AG14" s="3">
        <v>0.0</v>
      </c>
      <c r="AH14" s="3">
        <v>0.0</v>
      </c>
      <c r="AI14" s="3">
        <v>0.0</v>
      </c>
      <c r="AJ14" s="3" t="inlineStr">
        <is>
          <t>lf</t>
        </is>
      </c>
      <c r="AK14" s="3">
        <v>0.0</v>
      </c>
      <c r="AL14" s="3">
        <v>0.0</v>
      </c>
      <c r="AM14" s="3">
        <v>0.0</v>
      </c>
      <c r="AN14" s="3">
        <v>0.0</v>
      </c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0.0</v>
      </c>
      <c r="D2" s="24" t="s">
        <v>151</v>
      </c>
      <c r="N2" s="24" t="s">
        <v>152</v>
      </c>
    </row>
    <row r="4" spans="1:44" x14ac:dyDescent="0.2">
      <c r="A4" s="55" t="inlineStr">
        <is>
          <t>Profile Line #1</t>
        </is>
      </c>
      <c r="B4" s="52"/>
      <c r="D4" s="55" t="inlineStr">
        <is>
          <t>Profile Line #2</t>
        </is>
      </c>
      <c r="E4" s="52"/>
      <c r="G4" s="55" t="inlineStr">
        <is>
          <t>Profile Line #3</t>
        </is>
      </c>
      <c r="H4" s="52"/>
      <c r="J4" s="55" t="inlineStr">
        <is>
          <t>Profile Line #4</t>
        </is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>Shell</v>
      </c>
      <c r="B6" s="57"/>
      <c r="D6" s="56" t="str">
        <f>_xlfn.XLOOKUP(E5,mat!$A:$A, mat!$B:$B,"") &amp; ""</f>
        <v>Core</v>
      </c>
      <c r="E6" s="57"/>
      <c r="G6" s="56" t="str">
        <f>_xlfn.XLOOKUP(H5,mat!$A:$A, mat!$B:$B,"") &amp; ""</f>
        <v>Clay</v>
      </c>
      <c r="H6" s="57"/>
      <c r="J6" s="56" t="str">
        <f>_xlfn.XLOOKUP(K5,mat!$A:$A, mat!$B:$B,"") &amp; ""</f>
        <v>Sand</v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>
        <v>0.0</v>
      </c>
      <c r="B9" s="3">
        <v>227.0</v>
      </c>
      <c r="D9" s="3">
        <v>240.0</v>
      </c>
      <c r="E9" s="3">
        <v>227.0</v>
      </c>
      <c r="G9" s="3">
        <v>-150.0</v>
      </c>
      <c r="H9" s="3">
        <v>227.0</v>
      </c>
      <c r="J9" s="3">
        <v>-150.0</v>
      </c>
      <c r="K9" s="3">
        <v>197.0</v>
      </c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270.0</v>
      </c>
      <c r="B10" s="3">
        <v>317.0</v>
      </c>
      <c r="D10" s="3">
        <v>280.0</v>
      </c>
      <c r="E10" s="3">
        <v>307.0</v>
      </c>
      <c r="G10" s="3">
        <v>740.0</v>
      </c>
      <c r="H10" s="3">
        <v>227.0</v>
      </c>
      <c r="J10" s="3">
        <v>740.0</v>
      </c>
      <c r="K10" s="3">
        <v>197.0</v>
      </c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320.0</v>
      </c>
      <c r="B11" s="3">
        <v>317.0</v>
      </c>
      <c r="D11" s="3">
        <v>310.0</v>
      </c>
      <c r="E11" s="3">
        <v>307.0</v>
      </c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590.0</v>
      </c>
      <c r="B12" s="3">
        <v>227.0</v>
      </c>
      <c r="D12" s="3">
        <v>350.0</v>
      </c>
      <c r="E12" s="3">
        <v>227.0</v>
      </c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s">
        <v>174</v>
      </c>
      <c r="B4" s="52"/>
      <c r="D4" s="55" t="s">
        <v>175</v>
      </c>
      <c r="E4" s="52"/>
      <c r="G4" s="55" t="s">
        <v>176</v>
      </c>
      <c r="H4" s="52"/>
      <c r="J4" s="55" t="s">
        <v>177</v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s">
        <v>190</v>
      </c>
      <c r="D5" s="38" t="s">
        <v>189</v>
      </c>
      <c r="E5" s="39" t="s">
        <v>190</v>
      </c>
      <c r="G5" s="38" t="s">
        <v>189</v>
      </c>
      <c r="H5" s="39" t="s">
        <v>190</v>
      </c>
      <c r="J5" s="38" t="s">
        <v>189</v>
      </c>
      <c r="K5" s="39" t="s">
        <v>190</v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>Shell</v>
      </c>
      <c r="B7" s="57"/>
      <c r="D7" s="58" t="str">
        <f>IF(OR(E5="",E5="material"),_xlfn.XLOOKUP(E6,mat!$A:$A, mat!$B:$B,"") &amp; "","")</f>
        <v>Core</v>
      </c>
      <c r="E7" s="57"/>
      <c r="G7" s="58" t="str">
        <f>IF(OR(H5="",H5="material"),_xlfn.XLOOKUP(H6,mat!$A:$A, mat!$B:$B,"") &amp; "","")</f>
        <v>Clay</v>
      </c>
      <c r="H7" s="57"/>
      <c r="J7" s="58" t="str">
        <f>IF(OR(K5="",K5="material"),_xlfn.XLOOKUP(K6,mat!$A:$A, mat!$B:$B,"") &amp; "","")</f>
        <v>Sand</v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>
        <v>-150.0</v>
      </c>
      <c r="B5" s="3">
        <v>302.0</v>
      </c>
      <c r="D5" s="3">
        <v>-150.0</v>
      </c>
      <c r="E5" s="3">
        <v>250.0</v>
      </c>
      <c r="G5" s="1" t="s">
        <v>18</v>
      </c>
      <c r="H5" t="s">
        <v>195</v>
      </c>
    </row>
    <row r="6" spans="1:8" x14ac:dyDescent="0.2">
      <c r="A6" s="3">
        <v>277.5</v>
      </c>
      <c r="B6" s="3">
        <v>302.0</v>
      </c>
      <c r="D6" s="3">
        <v>251.5</v>
      </c>
      <c r="E6" s="3">
        <v>250.0</v>
      </c>
      <c r="G6" s="1" t="s">
        <v>196</v>
      </c>
      <c r="H6" t="s">
        <v>197</v>
      </c>
    </row>
    <row r="7" spans="1:8" x14ac:dyDescent="0.2">
      <c r="A7" s="3">
        <v>315.0</v>
      </c>
      <c r="B7" s="3">
        <v>275.0</v>
      </c>
      <c r="D7" s="3">
        <v>315.0</v>
      </c>
      <c r="E7" s="3">
        <v>242.0</v>
      </c>
    </row>
    <row r="8" spans="1:8" x14ac:dyDescent="0.2">
      <c r="A8" s="3">
        <v>343.5</v>
      </c>
      <c r="B8" s="3">
        <v>240.0</v>
      </c>
      <c r="D8" s="3">
        <v>347.0</v>
      </c>
      <c r="E8" s="3">
        <v>233.0</v>
      </c>
    </row>
    <row r="9" spans="1:8" x14ac:dyDescent="0.2">
      <c r="A9" s="3">
        <v>590.0</v>
      </c>
      <c r="B9" s="3">
        <v>227.0</v>
      </c>
      <c r="D9" s="3">
        <v>590.0</v>
      </c>
      <c r="E9" s="3">
        <v>227.0</v>
      </c>
    </row>
    <row r="10" spans="1:8" x14ac:dyDescent="0.2">
      <c r="A10" s="3">
        <v>740.0</v>
      </c>
      <c r="B10" s="3">
        <v>227.0</v>
      </c>
      <c r="D10" s="3">
        <v>740.0</v>
      </c>
      <c r="E10" s="3">
        <v>227.0</v>
      </c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>
        <v>100.0</v>
      </c>
      <c r="C3" s="3">
        <v>500.0</v>
      </c>
      <c r="D3" s="3" t="inlineStr">
        <is>
          <t>Depth</t>
        </is>
      </c>
      <c r="E3" s="3">
        <v>197.0</v>
      </c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>
        <v>100.0</v>
      </c>
      <c r="C4" s="3">
        <v>500.0</v>
      </c>
      <c r="D4" s="3" t="inlineStr">
        <is>
          <t>Depth</t>
        </is>
      </c>
      <c r="E4" s="3">
        <v>182.0</v>
      </c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/>
      <c r="B3" s="3"/>
      <c r="C3" s="3"/>
      <c r="E3" t="s">
        <v>226</v>
      </c>
      <c r="F3" t="s">
        <v>227</v>
      </c>
    </row>
    <row r="4" spans="1:6" x14ac:dyDescent="0.2">
      <c r="A4" s="3"/>
      <c r="B4" s="3"/>
      <c r="C4" s="3"/>
      <c r="E4" t="s">
        <v>228</v>
      </c>
      <c r="F4" t="s">
        <v>229</v>
      </c>
    </row>
    <row r="5" spans="1:6" x14ac:dyDescent="0.2">
      <c r="A5" s="3"/>
      <c r="B5" s="3"/>
      <c r="C5" s="3"/>
      <c r="E5" t="s">
        <v>230</v>
      </c>
      <c r="F5" t="s">
        <v>231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271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inlineStr">
        <is>
          <t>head</t>
        </is>
      </c>
      <c r="F3" s="33">
        <v>302.0</v>
      </c>
      <c r="H3" s="32" t="s">
        <v>286</v>
      </c>
      <c r="I3" s="33"/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>
        <v>320.0</v>
      </c>
      <c r="C5" s="3">
        <v>317.0</v>
      </c>
      <c r="E5" s="3">
        <v>-150.0</v>
      </c>
      <c r="F5" s="3">
        <v>227.0</v>
      </c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>
        <v>590.0</v>
      </c>
      <c r="C6" s="3">
        <v>227.0</v>
      </c>
      <c r="E6" s="3">
        <v>0.0</v>
      </c>
      <c r="F6" s="3">
        <v>227.0</v>
      </c>
      <c r="H6" s="3"/>
      <c r="I6" s="3"/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>
        <v>740.0</v>
      </c>
      <c r="C7" s="3">
        <v>227.0</v>
      </c>
      <c r="E7" s="3">
        <v>225.0</v>
      </c>
      <c r="F7" s="3">
        <v>302.0</v>
      </c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298</v>
      </c>
      <c r="C2" s="50" t="s">
        <v>299</v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/>
      <c r="C3" s="3"/>
      <c r="D3" s="3"/>
      <c r="E3" s="3"/>
      <c r="F3" s="3"/>
      <c r="G3" s="3"/>
      <c r="I3" s="14" t="s">
        <v>304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309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