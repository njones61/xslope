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njones/python_projects/xslope/docs/inputs/slope/"/>
    </mc:Choice>
  </mc:AlternateContent>
  <xr:revisionPtr revIDLastSave="0" documentId="13_ncr:1_{B6B487F6-A167-C742-8FF9-F3BD070644A1}" xr6:coauthVersionLast="47" xr6:coauthVersionMax="47" xr10:uidLastSave="{00000000-0000-0000-0000-000000000000}"/>
  <bookViews>
    <workbookView xWindow="26720" yWindow="2900" windowWidth="34200" windowHeight="2024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iezo" sheetId="4" r:id="rId5"/>
    <sheet name="circles" sheetId="5" r:id="rId6"/>
    <sheet name="non-circ" sheetId="7" r:id="rId7"/>
    <sheet name="dloads" sheetId="8" r:id="rId8"/>
    <sheet name="dloads (2)" sheetId="13" r:id="rId9"/>
    <sheet name="reinforce" sheetId="12" r:id="rId10"/>
    <sheet name="seep bc" sheetId="11" r:id="rId11"/>
    <sheet name="seep bc (2)" sheetId="14" r:id="rId12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6" i="2" l="1"/>
  <c r="AN6" i="2"/>
  <c r="AK6" i="2"/>
  <c r="AH6" i="2"/>
  <c r="AE6" i="2"/>
  <c r="AB6" i="2"/>
  <c r="Y6" i="2"/>
  <c r="V6" i="2"/>
  <c r="S6" i="2"/>
  <c r="P6" i="2"/>
  <c r="M6" i="2"/>
  <c r="J6" i="2"/>
  <c r="G6" i="2"/>
  <c r="D6" i="2"/>
  <c r="A6" i="2"/>
</calcChain>
</file>

<file path=xl/sharedStrings.xml><?xml version="1.0" encoding="utf-8"?>
<sst xmlns="http://schemas.openxmlformats.org/spreadsheetml/2006/main" count="157" uniqueCount="157">
  <si>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</si>
  <si>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</si>
  <si>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</si>
  <si>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</si>
  <si>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</si>
  <si>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</si>
  <si>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</si>
  <si>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</si>
  <si>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</si>
  <si>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</si>
  <si>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</si>
  <si>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</si>
  <si>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</si>
  <si>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</si>
  <si>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</si>
  <si>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</si>
  <si>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</si>
  <si>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</si>
  <si>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</si>
  <si>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</si>
  <si>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</si>
  <si>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</si>
  <si>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</si>
  <si>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</si>
  <si>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</si>
  <si>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</si>
  <si>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</si>
  <si>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</si>
  <si>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</si>
  <si>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</si>
  <si>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</si>
  <si>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</si>
  <si>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</si>
  <si>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</si>
  <si>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</si>
  <si>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</si>
  <si>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</si>
  <si>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</si>
  <si>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</si>
  <si>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</si>
  <si>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</si>
  <si>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</si>
  <si>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</si>
  <si>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</si>
  <si>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</si>
  <si>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</si>
  <si>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</si>
  <si>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</si>
  <si>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</si>
  <si>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</si>
  <si>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</si>
  <si>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</si>
  <si>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</si>
  <si>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</si>
  <si>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</si>
  <si>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</si>
  <si>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</si>
  <si>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</si>
  <si>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</si>
  <si>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</si>
  <si>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</si>
  <si>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</si>
  <si>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</si>
  <si>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</si>
  <si>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</si>
  <si>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</si>
  <si>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</si>
  <si>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</si>
  <si>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</si>
  <si>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</si>
  <si>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</si>
  <si>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</si>
  <si>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</si>
  <si>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</si>
  <si>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</si>
  <si>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</si>
  <si>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</si>
  <si>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</si>
  <si>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</si>
  <si>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</si>
  <si>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</si>
  <si>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t>ψ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</si>
  <si>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</si>
  <si>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s(ψ)</t>
  </si>
  <si>
    <t>Piezometric Line 2</t>
  </si>
  <si>
    <t>* piezometric line 2 is only required for rapid drawdown analysis</t>
  </si>
  <si>
    <t>Piezometric Line 1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</si>
  <si>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</si>
  <si>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</si>
  <si>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</si>
  <si>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</si>
  <si>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</si>
  <si>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</si>
  <si>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</si>
  <si>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</si>
  <si>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</si>
  <si>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</si>
  <si>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</si>
  <si>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</si>
  <si>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</si>
  <si>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</si>
  <si>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</si>
  <si>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</si>
  <si>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</si>
  <si>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</si>
  <si>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</si>
  <si>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</si>
  <si>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</si>
  <si>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</si>
  <si>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</si>
  <si>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</si>
  <si>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</si>
  <si>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</si>
  <si>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</si>
  <si>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</si>
  <si>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</si>
  <si>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</si>
  <si>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</si>
  <si>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</si>
  <si>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</si>
  <si>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</si>
  <si>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</si>
  <si>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</si>
  <si>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</si>
  <si>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</si>
  <si>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</si>
  <si>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</si>
  <si>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</si>
  <si>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</si>
  <si>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</si>
  <si>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</si>
  <si>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</si>
  <si>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</si>
  <si>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</si>
  <si>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</si>
  <si>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</si>
  <si>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</si>
  <si>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</si>
  <si>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</si>
  <si>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</si>
  <si>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</si>
  <si>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</si>
  <si>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</si>
  <si>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</si>
  <si>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</si>
  <si>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</si>
  <si>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</si>
  <si>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</si>
  <si>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</si>
  <si>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</si>
  <si>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</si>
  <si>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</si>
  <si>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</si>
  <si>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cover</t>
  </si>
  <si>
    <t>fill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</si>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</sst>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  <c:pt idx="0">
                  <c:v>0</c:v>
                </c:pt>
                <c:pt idx="1">
                  <c:v>30</c:v>
                </c:pt>
                <c:pt idx="2">
                  <c:v>32</c:v>
                </c:pt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  <c:pt idx="0">
                  <c:v>-70</c:v>
                </c:pt>
                <c:pt idx="1">
                  <c:v>2</c:v>
                </c:pt>
                <c:pt idx="2">
                  <c:v>32</c:v>
                </c:pt>
                <c:pt idx="3">
                  <c:v>100</c:v>
                </c:pt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24</c:v>
                </c:pt>
                <c:pt idx="3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  <c:pt idx="0">
                  <c:v>30</c:v>
                </c:pt>
                <c:pt idx="1">
                  <c:v>100</c:v>
                </c:pt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  <c:pt idx="0">
                  <c:v>24</c:v>
                </c:pt>
                <c:pt idx="1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  <c:pt idx="0">
                  <c:v>0</c:v>
                </c:pt>
                <c:pt idx="1">
                  <c:v>20</c:v>
                </c:pt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  <c:pt idx="0">
                  <c:v>5</c:v>
                </c:pt>
                <c:pt idx="1">
                  <c:v>25</c:v>
                </c:pt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  <c:pt idx="0">
                  <c:v>10</c:v>
                </c:pt>
                <c:pt idx="1">
                  <c:v>30</c:v>
                </c:pt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  <c:pt idx="0">
                  <c:v>8</c:v>
                </c:pt>
                <c:pt idx="1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  <c:pt idx="0">
                  <c:v>15</c:v>
                </c:pt>
                <c:pt idx="1">
                  <c:v>35</c:v>
                </c:pt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  <c:pt idx="0">
                  <c:v>12</c:v>
                </c:pt>
                <c:pt idx="1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  <c:pt idx="0">
                  <c:v>20</c:v>
                </c:pt>
                <c:pt idx="1">
                  <c:v>40</c:v>
                </c:pt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  <c:pt idx="0">
                  <c:v>16</c:v>
                </c:pt>
                <c:pt idx="1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  <c:pt idx="0">
                  <c:v>25</c:v>
                </c:pt>
                <c:pt idx="1">
                  <c:v>45</c:v>
                </c:pt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  <c:pt idx="0">
                  <c:v>20</c:v>
                </c:pt>
                <c:pt idx="1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99787</xdr:rowOff>
    </xdr:from>
    <xdr:to>
      <xdr:col>16</xdr:col>
      <xdr:colOff>780143</xdr:colOff>
      <xdr:row>16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0"/>
          <a:ext cx="4354286" cy="27486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endParaRPr lang="en-US" sz="1100" baseline="0"/>
        </a:p>
        <a:p>
          <a:r>
            <a:rPr lang="en-US" sz="1100" b="1" baseline="0"/>
            <a:t>Tmax</a:t>
          </a:r>
          <a:r>
            <a:rPr lang="en-US" sz="1100" baseline="0"/>
            <a:t> = maximum tensile strength of reinforcement material. </a:t>
          </a:r>
        </a:p>
        <a:p>
          <a:endParaRPr lang="en-US" sz="1100" baseline="0"/>
        </a:p>
        <a:p>
          <a:r>
            <a:rPr lang="en-US" sz="1100" b="1" baseline="0"/>
            <a:t>Tres</a:t>
          </a:r>
          <a:r>
            <a:rPr lang="en-US" sz="1100" baseline="0"/>
            <a:t> = residual strenth of reinfocement material.</a:t>
          </a:r>
        </a:p>
        <a:p>
          <a:endParaRPr lang="en-US" sz="1100" baseline="0"/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modulus of elasticity of reinforcement material</a:t>
          </a:r>
        </a:p>
        <a:p>
          <a:endParaRPr lang="en-US" sz="1100" baseline="0"/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G24"/>
  <sheetViews>
    <sheetView showGridLines="0" tabSelected="1" zoomScale="140" zoomScaleNormal="140" workbookViewId="0">
      <selection activeCell="B26" sqref="B26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101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9</v>
      </c>
    </row>
    <row r="7" spans="1:7" x14ac:dyDescent="0.2">
      <c r="B7" s="43" t="s">
        <v>47</v>
      </c>
      <c r="C7" s="43"/>
      <c r="D7" s="43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121</v>
      </c>
      <c r="G8" t="s">
        <v>122</v>
      </c>
    </row>
    <row r="9" spans="1:7" x14ac:dyDescent="0.2">
      <c r="C9" s="14" t="s">
        <v>49</v>
      </c>
      <c r="D9" s="1">
        <v>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123</v>
      </c>
      <c r="G15" t="s">
        <v>125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98</v>
      </c>
      <c r="G17" s="9" t="s">
        <v>127</v>
      </c>
    </row>
    <row r="18" spans="2:7" x14ac:dyDescent="0.2">
      <c r="F18" s="1" t="s">
        <v>124</v>
      </c>
      <c r="G18" s="9" t="s">
        <v>126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zoomScale="125" zoomScaleNormal="140" workbookViewId="0">
      <selection activeCell="E38" sqref="E3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2:X50"/>
  <sheetViews>
    <sheetView showGridLines="0" zoomScale="140" zoomScaleNormal="140" workbookViewId="0">
      <selection activeCell="C22" sqref="C22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3" width="8.5" customWidth="1"/>
    <col min="14" max="17" width="10.83203125" customWidth="1"/>
    <col min="23" max="23" width="10.83203125" style="1"/>
  </cols>
  <sheetData>
    <row r="2" spans="1:24" x14ac:dyDescent="0.2">
      <c r="C2" s="6" t="s">
        <v>68</v>
      </c>
      <c r="D2"/>
      <c r="E2"/>
      <c r="F2"/>
      <c r="J2" s="6" t="s">
        <v>87</v>
      </c>
      <c r="O2" s="6"/>
    </row>
    <row r="3" spans="1:24" x14ac:dyDescent="0.2">
      <c r="C3" s="1" t="s">
        <v>67</v>
      </c>
      <c r="D3" t="s">
        <v>69</v>
      </c>
      <c r="E3"/>
      <c r="F3"/>
      <c r="J3" s="1" t="s">
        <v>90</v>
      </c>
      <c r="K3" t="s">
        <v>59</v>
      </c>
      <c r="O3" s="14"/>
    </row>
    <row r="4" spans="1:24" x14ac:dyDescent="0.2">
      <c r="C4" s="1" t="s">
        <v>70</v>
      </c>
      <c r="D4" t="s">
        <v>71</v>
      </c>
      <c r="E4"/>
      <c r="F4"/>
      <c r="J4" s="1" t="s">
        <v>21</v>
      </c>
      <c r="K4" t="s">
        <v>60</v>
      </c>
      <c r="O4" s="14"/>
    </row>
    <row r="5" spans="1:24" x14ac:dyDescent="0.2">
      <c r="J5" s="1" t="s">
        <v>91</v>
      </c>
      <c r="K5" s="9" t="s">
        <v>89</v>
      </c>
      <c r="O5" s="14"/>
    </row>
    <row r="6" spans="1:24" x14ac:dyDescent="0.2">
      <c r="J6" s="1"/>
      <c r="K6" s="1"/>
      <c r="P6" s="1"/>
      <c r="Q6" s="1"/>
    </row>
    <row r="7" spans="1:24" x14ac:dyDescent="0.2">
      <c r="C7" s="44" t="s">
        <v>57</v>
      </c>
      <c r="D7" s="44"/>
      <c r="E7" s="44"/>
      <c r="F7" s="44"/>
      <c r="G7" s="44"/>
      <c r="H7" s="44"/>
      <c r="I7" s="44"/>
      <c r="J7" s="44"/>
      <c r="K7" s="1"/>
      <c r="L7" s="44" t="s">
        <v>58</v>
      </c>
      <c r="M7" s="44"/>
      <c r="N7" s="44"/>
      <c r="O7" s="44"/>
      <c r="P7" s="44"/>
      <c r="Q7" s="44"/>
      <c r="R7" s="44" t="s">
        <v>95</v>
      </c>
      <c r="S7" s="44"/>
      <c r="T7" s="44"/>
      <c r="U7" s="44"/>
      <c r="V7" s="44"/>
      <c r="W7" s="44" t="s">
        <v>102</v>
      </c>
      <c r="X7" s="44"/>
    </row>
    <row r="8" spans="1:24" x14ac:dyDescent="0.2">
      <c r="A8" s="20" t="s">
        <v>19</v>
      </c>
      <c r="B8" s="20" t="s">
        <v>78</v>
      </c>
      <c r="C8" s="26" t="s">
        <v>52</v>
      </c>
      <c r="D8" s="21" t="s">
        <v>66</v>
      </c>
      <c r="E8" s="21" t="s">
        <v>53</v>
      </c>
      <c r="F8" s="26" t="s">
        <v>51</v>
      </c>
      <c r="G8" s="21" t="s">
        <v>73</v>
      </c>
      <c r="H8" s="21" t="s">
        <v>72</v>
      </c>
      <c r="I8" s="21" t="s">
        <v>80</v>
      </c>
      <c r="J8" s="21" t="s">
        <v>155</v>
      </c>
      <c r="K8" s="21" t="s">
        <v>88</v>
      </c>
      <c r="L8" s="22" t="s">
        <v>54</v>
      </c>
      <c r="M8" s="22" t="s">
        <v>55</v>
      </c>
      <c r="N8" s="23" t="s">
        <v>56</v>
      </c>
      <c r="O8" s="22" t="s">
        <v>74</v>
      </c>
      <c r="P8" s="22" t="s">
        <v>82</v>
      </c>
      <c r="Q8" s="23" t="s">
        <v>156</v>
      </c>
      <c r="R8" s="25" t="s">
        <v>92</v>
      </c>
      <c r="S8" s="25" t="s">
        <v>93</v>
      </c>
      <c r="T8" s="25" t="s">
        <v>94</v>
      </c>
      <c r="U8" s="25" t="s">
        <v>99</v>
      </c>
      <c r="V8" s="25" t="s">
        <v>100</v>
      </c>
      <c r="W8" s="29" t="s">
        <v>103</v>
      </c>
      <c r="X8" s="30" t="s">
        <v>104</v>
      </c>
    </row>
    <row r="9" spans="1:24" x14ac:dyDescent="0.2">
      <c r="A9" s="3">
        <v>1</v>
      </c>
      <c r="B9" s="3" t="s">
        <v>153</v>
      </c>
      <c r="C9" s="3">
        <v>130</v>
      </c>
      <c r="D9" s="3" t="s">
        <v>67</v>
      </c>
      <c r="E9" s="3">
        <v>300</v>
      </c>
      <c r="F9" s="3">
        <v>37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">
      <c r="A10" s="3">
        <v>2</v>
      </c>
      <c r="B10" s="3" t="s">
        <v>154</v>
      </c>
      <c r="C10" s="3">
        <v>130</v>
      </c>
      <c r="D10" s="3" t="s">
        <v>67</v>
      </c>
      <c r="E10" s="3">
        <v>0</v>
      </c>
      <c r="F10" s="3">
        <v>37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x14ac:dyDescent="0.2">
      <c r="A11" s="3">
        <v>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A12" s="3">
        <v>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">
      <c r="A13" s="3">
        <v>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">
      <c r="A14" s="3">
        <v>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">
      <c r="A15" s="3">
        <v>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">
      <c r="A16" s="3">
        <v>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14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15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4" x14ac:dyDescent="0.2">
      <c r="J25" s="1"/>
      <c r="K25" s="1"/>
      <c r="L25" s="1"/>
      <c r="M25" s="1"/>
      <c r="N25" s="1"/>
      <c r="O25" s="1"/>
      <c r="P25" s="1"/>
      <c r="Q25" s="1"/>
    </row>
    <row r="26" spans="1:24" x14ac:dyDescent="0.2">
      <c r="J26" s="1"/>
      <c r="K26" s="1"/>
      <c r="L26" s="1"/>
      <c r="M26" s="1"/>
      <c r="N26" s="1"/>
      <c r="O26" s="1"/>
      <c r="P26" s="1"/>
      <c r="Q26" s="1"/>
    </row>
    <row r="27" spans="1:24" x14ac:dyDescent="0.2">
      <c r="J27" s="1"/>
      <c r="K27" s="1"/>
      <c r="L27" s="1"/>
      <c r="M27" s="1"/>
      <c r="N27" s="1"/>
      <c r="O27" s="1"/>
      <c r="P27" s="1"/>
      <c r="Q27" s="1"/>
    </row>
    <row r="28" spans="1:24" x14ac:dyDescent="0.2">
      <c r="J28" s="1"/>
      <c r="K28" s="1"/>
      <c r="L28" s="1"/>
      <c r="M28" s="1"/>
      <c r="N28" s="1"/>
      <c r="O28" s="1"/>
      <c r="P28" s="1"/>
      <c r="Q28" s="1"/>
    </row>
    <row r="29" spans="1:24" x14ac:dyDescent="0.2">
      <c r="J29" s="1"/>
      <c r="K29" s="1"/>
      <c r="L29" s="1"/>
      <c r="M29" s="1"/>
      <c r="N29" s="1"/>
      <c r="O29" s="1"/>
      <c r="P29" s="1"/>
      <c r="Q29" s="1"/>
    </row>
    <row r="30" spans="1:24" x14ac:dyDescent="0.2">
      <c r="J30" s="1"/>
      <c r="K30" s="1"/>
      <c r="L30" s="1"/>
      <c r="M30" s="1"/>
      <c r="N30" s="1"/>
      <c r="O30" s="1"/>
      <c r="P30" s="1"/>
      <c r="Q30" s="1"/>
    </row>
    <row r="31" spans="1:24" x14ac:dyDescent="0.2">
      <c r="J31" s="1"/>
      <c r="K31" s="1"/>
      <c r="L31" s="1"/>
      <c r="M31" s="1"/>
      <c r="N31" s="1"/>
      <c r="O31" s="1"/>
      <c r="P31" s="1"/>
      <c r="Q31" s="1"/>
    </row>
    <row r="32" spans="1:24" x14ac:dyDescent="0.2">
      <c r="J32" s="1"/>
      <c r="K32" s="1"/>
      <c r="L32" s="1"/>
      <c r="M32" s="1"/>
      <c r="N32" s="1"/>
      <c r="O32" s="1"/>
      <c r="P32" s="1"/>
      <c r="Q32" s="1"/>
    </row>
    <row r="33" spans="10:17" x14ac:dyDescent="0.2">
      <c r="J33" s="1"/>
      <c r="K33" s="1"/>
      <c r="L33" s="1"/>
      <c r="M33" s="1"/>
      <c r="N33" s="1"/>
      <c r="O33" s="1"/>
      <c r="P33" s="1"/>
      <c r="Q33" s="1"/>
    </row>
    <row r="34" spans="10:17" x14ac:dyDescent="0.2">
      <c r="J34" s="1"/>
      <c r="K34" s="1"/>
      <c r="L34" s="1"/>
      <c r="M34" s="1"/>
      <c r="N34" s="1"/>
      <c r="O34" s="1"/>
      <c r="P34" s="1"/>
      <c r="Q34" s="1"/>
    </row>
    <row r="35" spans="10:17" x14ac:dyDescent="0.2">
      <c r="J35" s="1"/>
      <c r="K35" s="1"/>
      <c r="L35" s="1"/>
      <c r="M35" s="1"/>
      <c r="N35" s="1"/>
      <c r="O35" s="1"/>
      <c r="P35" s="1"/>
      <c r="Q35" s="1"/>
    </row>
    <row r="36" spans="10:17" x14ac:dyDescent="0.2">
      <c r="J36" s="1"/>
      <c r="K36" s="1"/>
      <c r="L36" s="1"/>
      <c r="M36" s="1"/>
      <c r="N36" s="1"/>
      <c r="O36" s="1"/>
      <c r="P36" s="1"/>
      <c r="Q36" s="1"/>
    </row>
    <row r="37" spans="10:17" x14ac:dyDescent="0.2">
      <c r="J37" s="1"/>
      <c r="K37" s="1"/>
      <c r="L37" s="1"/>
      <c r="M37" s="1"/>
      <c r="N37" s="1"/>
      <c r="O37" s="1"/>
      <c r="P37" s="1"/>
      <c r="Q37" s="1"/>
    </row>
    <row r="38" spans="10:17" x14ac:dyDescent="0.2">
      <c r="J38" s="1"/>
      <c r="K38" s="1"/>
      <c r="L38" s="1"/>
      <c r="M38" s="1"/>
      <c r="N38" s="1"/>
      <c r="O38" s="1"/>
      <c r="P38" s="1"/>
      <c r="Q38" s="1"/>
    </row>
    <row r="39" spans="10:17" x14ac:dyDescent="0.2">
      <c r="J39" s="1"/>
      <c r="K39" s="1"/>
      <c r="L39" s="1"/>
      <c r="M39" s="1"/>
      <c r="N39" s="1"/>
      <c r="O39" s="1"/>
      <c r="P39" s="1"/>
      <c r="Q39" s="1"/>
    </row>
    <row r="40" spans="10:17" x14ac:dyDescent="0.2">
      <c r="J40" s="1"/>
      <c r="K40" s="1"/>
      <c r="L40" s="1"/>
      <c r="M40" s="1"/>
      <c r="N40" s="1"/>
      <c r="O40" s="1"/>
      <c r="P40" s="1"/>
      <c r="Q40" s="1"/>
    </row>
    <row r="41" spans="10:17" x14ac:dyDescent="0.2">
      <c r="J41" s="1"/>
      <c r="K41" s="1"/>
      <c r="L41" s="1"/>
      <c r="M41" s="1"/>
      <c r="N41" s="1"/>
      <c r="O41" s="1"/>
      <c r="P41" s="1"/>
      <c r="Q41" s="1"/>
    </row>
    <row r="42" spans="10:17" x14ac:dyDescent="0.2">
      <c r="J42" s="1"/>
      <c r="K42" s="1"/>
      <c r="L42" s="1"/>
      <c r="M42" s="1"/>
      <c r="N42" s="1"/>
      <c r="O42" s="1"/>
      <c r="P42" s="1"/>
      <c r="Q42" s="1"/>
    </row>
    <row r="43" spans="10:17" x14ac:dyDescent="0.2">
      <c r="J43" s="1"/>
      <c r="K43" s="1"/>
      <c r="L43" s="1"/>
      <c r="M43" s="1"/>
      <c r="N43" s="1"/>
      <c r="O43" s="1"/>
      <c r="P43" s="1"/>
      <c r="Q43" s="1"/>
    </row>
    <row r="44" spans="10:17" x14ac:dyDescent="0.2">
      <c r="J44" s="1"/>
      <c r="K44" s="1"/>
      <c r="L44" s="1"/>
      <c r="M44" s="1"/>
      <c r="N44" s="1"/>
      <c r="O44" s="1"/>
      <c r="P44" s="1"/>
      <c r="Q44" s="1"/>
    </row>
    <row r="45" spans="10:17" x14ac:dyDescent="0.2">
      <c r="J45" s="1"/>
      <c r="K45" s="1"/>
      <c r="L45" s="1"/>
      <c r="M45" s="1"/>
      <c r="N45" s="1"/>
      <c r="O45" s="1"/>
      <c r="P45" s="1"/>
      <c r="Q45" s="1"/>
    </row>
    <row r="46" spans="10:17" x14ac:dyDescent="0.2">
      <c r="J46" s="1"/>
      <c r="K46" s="1"/>
      <c r="L46" s="1"/>
      <c r="M46" s="1"/>
      <c r="N46" s="1"/>
      <c r="O46" s="1"/>
      <c r="P46" s="1"/>
      <c r="Q46" s="1"/>
    </row>
    <row r="47" spans="10:17" x14ac:dyDescent="0.2">
      <c r="J47" s="1"/>
      <c r="K47" s="1"/>
      <c r="L47" s="1"/>
      <c r="M47" s="1"/>
      <c r="N47" s="1"/>
      <c r="O47" s="1"/>
      <c r="P47" s="1"/>
      <c r="Q47" s="1"/>
    </row>
    <row r="48" spans="10:17" x14ac:dyDescent="0.2">
      <c r="J48" s="1"/>
      <c r="K48" s="1"/>
      <c r="L48" s="1"/>
      <c r="M48" s="1"/>
      <c r="N48" s="1"/>
      <c r="O48" s="1"/>
      <c r="P48" s="1"/>
      <c r="Q48" s="1"/>
    </row>
    <row r="49" spans="10:17" x14ac:dyDescent="0.2">
      <c r="J49" s="1"/>
      <c r="K49" s="1"/>
      <c r="L49" s="1"/>
      <c r="M49" s="1"/>
      <c r="N49" s="1"/>
      <c r="O49" s="1"/>
      <c r="P49" s="1"/>
      <c r="Q49" s="1"/>
    </row>
    <row r="50" spans="10:17" x14ac:dyDescent="0.2">
      <c r="J50" s="1"/>
      <c r="K50" s="1"/>
      <c r="L50" s="1"/>
      <c r="M50" s="1"/>
      <c r="N50" s="1"/>
      <c r="O50" s="1"/>
      <c r="P50" s="1"/>
      <c r="Q50" s="1"/>
    </row>
  </sheetData>
  <mergeCells count="4">
    <mergeCell ref="C7:J7"/>
    <mergeCell ref="L7:Q7"/>
    <mergeCell ref="W7:X7"/>
    <mergeCell ref="R7:V7"/>
  </mergeCells>
  <conditionalFormatting sqref="F9:F50">
    <cfRule type="expression" dxfId="8" priority="1">
      <formula>$D9="cp"</formula>
    </cfRule>
  </conditionalFormatting>
  <conditionalFormatting sqref="G9:H50">
    <cfRule type="expression" dxfId="7" priority="3">
      <formula>$D9="mc"</formula>
    </cfRule>
  </conditionalFormatting>
  <conditionalFormatting sqref="I9:J50">
    <cfRule type="expression" dxfId="6" priority="5">
      <formula>$D9="cp"</formula>
    </cfRule>
  </conditionalFormatting>
  <conditionalFormatting sqref="N9:N50">
    <cfRule type="expression" dxfId="5" priority="7">
      <formula>$D9="cp"</formula>
    </cfRule>
  </conditionalFormatting>
  <conditionalFormatting sqref="O9:O50">
    <cfRule type="expression" dxfId="4" priority="14">
      <formula>$D9="mc"</formula>
    </cfRule>
  </conditionalFormatting>
  <conditionalFormatting sqref="P9:Q50">
    <cfRule type="expression" dxfId="3" priority="9">
      <formula>$D9="cp"</formula>
    </cfRule>
  </conditionalFormatting>
  <dataValidations count="3">
    <dataValidation type="list" allowBlank="1" showInputMessage="1" showErrorMessage="1" sqref="D11:D50" xr:uid="{374AFD2C-B540-DD4B-A245-8B781F76E64C}">
      <formula1>$C$3:$C$4</formula1>
    </dataValidation>
    <dataValidation type="list" allowBlank="1" showInputMessage="1" showErrorMessage="1" sqref="K9:K50" xr:uid="{D770415C-1ECE-F44B-9D8C-08EF1CF31C8E}">
      <formula1>$J$3:$J$5</formula1>
    </dataValidation>
    <dataValidation type="list" allowBlank="1" showInputMessage="1" showErrorMessage="1" sqref="D9:D10" xr:uid="{3452C0EF-EFF1-FA4B-8147-87704D80A2D5}">
      <formula1>$C$22:$C$23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AR27"/>
  <sheetViews>
    <sheetView showGridLines="0" zoomScale="140" zoomScaleNormal="140" workbookViewId="0">
      <selection activeCell="F15" sqref="F15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7" t="s">
        <v>96</v>
      </c>
    </row>
    <row r="4" spans="1:44" x14ac:dyDescent="0.2">
      <c r="A4" s="45" t="s">
        <v>2</v>
      </c>
      <c r="B4" s="45"/>
      <c r="D4" s="45" t="s">
        <v>5</v>
      </c>
      <c r="E4" s="45"/>
      <c r="G4" s="45" t="s">
        <v>6</v>
      </c>
      <c r="H4" s="45"/>
      <c r="J4" s="45" t="s">
        <v>7</v>
      </c>
      <c r="K4" s="45"/>
      <c r="M4" s="45" t="s">
        <v>8</v>
      </c>
      <c r="N4" s="45"/>
      <c r="P4" s="45" t="s">
        <v>9</v>
      </c>
      <c r="Q4" s="45"/>
      <c r="R4" s="1"/>
      <c r="S4" s="45" t="s">
        <v>10</v>
      </c>
      <c r="T4" s="45"/>
      <c r="U4" s="1"/>
      <c r="V4" s="45" t="s">
        <v>11</v>
      </c>
      <c r="W4" s="45"/>
      <c r="X4" s="1"/>
      <c r="Y4" s="45" t="s">
        <v>12</v>
      </c>
      <c r="Z4" s="45"/>
      <c r="AA4" s="1"/>
      <c r="AB4" s="45" t="s">
        <v>13</v>
      </c>
      <c r="AC4" s="45"/>
      <c r="AE4" s="45" t="s">
        <v>116</v>
      </c>
      <c r="AF4" s="45"/>
      <c r="AG4" s="1"/>
      <c r="AH4" s="45" t="s">
        <v>117</v>
      </c>
      <c r="AI4" s="45"/>
      <c r="AJ4" s="1"/>
      <c r="AK4" s="45" t="s">
        <v>118</v>
      </c>
      <c r="AL4" s="45"/>
      <c r="AM4" s="1"/>
      <c r="AN4" s="45" t="s">
        <v>119</v>
      </c>
      <c r="AO4" s="45"/>
      <c r="AP4" s="1"/>
      <c r="AQ4" s="45" t="s">
        <v>120</v>
      </c>
      <c r="AR4" s="45"/>
    </row>
    <row r="5" spans="1:44" x14ac:dyDescent="0.2">
      <c r="A5" s="41" t="s">
        <v>128</v>
      </c>
      <c r="B5" s="42">
        <v>1</v>
      </c>
      <c r="D5" s="41" t="s">
        <v>128</v>
      </c>
      <c r="E5" s="42">
        <v>2</v>
      </c>
      <c r="G5" s="41" t="s">
        <v>128</v>
      </c>
      <c r="H5" s="42">
        <v>3</v>
      </c>
      <c r="J5" s="41" t="s">
        <v>128</v>
      </c>
      <c r="K5" s="42">
        <v>4</v>
      </c>
      <c r="M5" s="41" t="s">
        <v>128</v>
      </c>
      <c r="N5" s="42">
        <v>5</v>
      </c>
      <c r="P5" s="41" t="s">
        <v>128</v>
      </c>
      <c r="Q5" s="42">
        <v>6</v>
      </c>
      <c r="R5" s="1"/>
      <c r="S5" s="41" t="s">
        <v>128</v>
      </c>
      <c r="T5" s="42">
        <v>7</v>
      </c>
      <c r="U5" s="1"/>
      <c r="V5" s="41" t="s">
        <v>128</v>
      </c>
      <c r="W5" s="42">
        <v>8</v>
      </c>
      <c r="X5" s="1"/>
      <c r="Y5" s="41" t="s">
        <v>128</v>
      </c>
      <c r="Z5" s="42">
        <v>9</v>
      </c>
      <c r="AA5" s="1"/>
      <c r="AB5" s="41" t="s">
        <v>128</v>
      </c>
      <c r="AC5" s="42">
        <v>10</v>
      </c>
      <c r="AE5" s="41" t="s">
        <v>128</v>
      </c>
      <c r="AF5" s="42">
        <v>11</v>
      </c>
      <c r="AG5" s="1"/>
      <c r="AH5" s="41" t="s">
        <v>128</v>
      </c>
      <c r="AI5" s="42">
        <v>12</v>
      </c>
      <c r="AJ5" s="1"/>
      <c r="AK5" s="41" t="s">
        <v>128</v>
      </c>
      <c r="AL5" s="42">
        <v>13</v>
      </c>
      <c r="AM5" s="1"/>
      <c r="AN5" s="41" t="s">
        <v>128</v>
      </c>
      <c r="AO5" s="42">
        <v>14</v>
      </c>
      <c r="AP5" s="1"/>
      <c r="AQ5" s="41" t="s">
        <v>128</v>
      </c>
      <c r="AR5" s="42">
        <v>15</v>
      </c>
    </row>
    <row r="6" spans="1:44" x14ac:dyDescent="0.2">
      <c r="A6" s="46" t="str">
        <f>_xlfn.XLOOKUP(B5,mat!$A:$A, mat!$B:$B,"") &amp; ""</f>
        <v>cover</v>
      </c>
      <c r="B6" s="47"/>
      <c r="D6" s="46" t="str">
        <f>_xlfn.XLOOKUP(E5,mat!$A:$A, mat!$B:$B,"") &amp; ""</f>
        <v>fill</v>
      </c>
      <c r="E6" s="47"/>
      <c r="G6" s="46" t="str">
        <f>_xlfn.XLOOKUP(H5,mat!$A:$A, mat!$B:$B,"") &amp; ""</f>
        <v/>
      </c>
      <c r="H6" s="47"/>
      <c r="J6" s="46" t="str">
        <f>_xlfn.XLOOKUP(K5,mat!$A:$A, mat!$B:$B,"") &amp; ""</f>
        <v/>
      </c>
      <c r="K6" s="47"/>
      <c r="M6" s="46" t="str">
        <f>_xlfn.XLOOKUP(N5,mat!$A:$A, mat!$B:$B,"") &amp; ""</f>
        <v/>
      </c>
      <c r="N6" s="47"/>
      <c r="P6" s="46" t="str">
        <f>_xlfn.XLOOKUP(Q5,mat!$A:$A, mat!$B:$B,"") &amp; ""</f>
        <v/>
      </c>
      <c r="Q6" s="47"/>
      <c r="R6" s="1"/>
      <c r="S6" s="46" t="str">
        <f>_xlfn.XLOOKUP(T5,mat!$A:$A, mat!$B:$B,"") &amp; ""</f>
        <v/>
      </c>
      <c r="T6" s="47"/>
      <c r="U6" s="1"/>
      <c r="V6" s="46" t="str">
        <f>_xlfn.XLOOKUP(W5,mat!$A:$A, mat!$B:$B,"") &amp; ""</f>
        <v/>
      </c>
      <c r="W6" s="47"/>
      <c r="X6" s="1"/>
      <c r="Y6" s="46" t="str">
        <f>_xlfn.XLOOKUP(Z5,mat!$A:$A, mat!$B:$B,"") &amp; ""</f>
        <v/>
      </c>
      <c r="Z6" s="47"/>
      <c r="AA6" s="1"/>
      <c r="AB6" s="46" t="str">
        <f>_xlfn.XLOOKUP(AC5,mat!$A:$A, mat!$B:$B,"") &amp; ""</f>
        <v/>
      </c>
      <c r="AC6" s="47"/>
      <c r="AE6" s="46" t="str">
        <f>_xlfn.XLOOKUP(AF5,mat!$A:$A, mat!$B:$B,"") &amp; ""</f>
        <v/>
      </c>
      <c r="AF6" s="47"/>
      <c r="AG6" s="1"/>
      <c r="AH6" s="46" t="str">
        <f>_xlfn.XLOOKUP(AI5,mat!$A:$A, mat!$B:$B,"") &amp; ""</f>
        <v/>
      </c>
      <c r="AI6" s="47"/>
      <c r="AJ6" s="1"/>
      <c r="AK6" s="46" t="str">
        <f>_xlfn.XLOOKUP(AL5,mat!$A:$A, mat!$B:$B,"") &amp; ""</f>
        <v/>
      </c>
      <c r="AL6" s="47"/>
      <c r="AM6" s="1"/>
      <c r="AN6" s="46" t="str">
        <f>_xlfn.XLOOKUP(AO5,mat!$A:$A, mat!$B:$B,"") &amp; ""</f>
        <v/>
      </c>
      <c r="AO6" s="47"/>
      <c r="AP6" s="1"/>
      <c r="AQ6" s="46" t="str">
        <f>_xlfn.XLOOKUP(AR5,mat!$A:$A, mat!$B:$B,"") &amp; ""</f>
        <v/>
      </c>
      <c r="AR6" s="4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</v>
      </c>
      <c r="B8" s="3">
        <v>0</v>
      </c>
      <c r="D8" s="3">
        <v>-70</v>
      </c>
      <c r="E8" s="3">
        <v>0</v>
      </c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30</v>
      </c>
      <c r="B9" s="3">
        <v>24</v>
      </c>
      <c r="D9" s="3">
        <v>2</v>
      </c>
      <c r="E9" s="3">
        <v>0</v>
      </c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32</v>
      </c>
      <c r="B10" s="3">
        <v>24</v>
      </c>
      <c r="D10" s="3">
        <v>32</v>
      </c>
      <c r="E10" s="3">
        <v>24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>
        <v>100</v>
      </c>
      <c r="E11" s="3">
        <v>24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G23"/>
  <sheetViews>
    <sheetView showGridLines="0" zoomScale="150" zoomScaleNormal="150" workbookViewId="0">
      <selection activeCell="A4" sqref="A4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48" t="s">
        <v>86</v>
      </c>
      <c r="B2" s="48"/>
      <c r="D2" s="49" t="s">
        <v>84</v>
      </c>
      <c r="E2" s="49"/>
      <c r="G2" s="24" t="s">
        <v>85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zoomScale="140" zoomScaleNormal="140" workbookViewId="0">
      <selection activeCell="D4" sqref="D4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10</v>
      </c>
      <c r="C3" s="3">
        <v>50</v>
      </c>
      <c r="D3" s="3" t="s">
        <v>26</v>
      </c>
      <c r="E3" s="3">
        <v>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10CC3AFF-5EE6-0246-9DCA-624F577EB037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23"/>
  <sheetViews>
    <sheetView showGridLines="0" zoomScale="140" zoomScaleNormal="140" workbookViewId="0">
      <selection activeCell="F26" sqref="F26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X22"/>
  <sheetViews>
    <sheetView showGridLines="0" zoomScale="140" zoomScaleNormal="140" workbookViewId="0">
      <selection activeCell="O29" sqref="O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0" t="s">
        <v>129</v>
      </c>
      <c r="C2" s="50"/>
      <c r="D2" s="50"/>
      <c r="F2" s="50" t="s">
        <v>130</v>
      </c>
      <c r="G2" s="50"/>
      <c r="H2" s="50"/>
      <c r="J2" s="50" t="s">
        <v>131</v>
      </c>
      <c r="K2" s="50"/>
      <c r="L2" s="50"/>
      <c r="N2" s="50" t="s">
        <v>132</v>
      </c>
      <c r="O2" s="50"/>
      <c r="P2" s="50"/>
      <c r="R2" s="50" t="s">
        <v>133</v>
      </c>
      <c r="S2" s="50"/>
      <c r="T2" s="50"/>
      <c r="V2" s="50" t="s">
        <v>134</v>
      </c>
      <c r="W2" s="50"/>
      <c r="X2" s="5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>
        <v>30</v>
      </c>
      <c r="C4" s="3">
        <v>24</v>
      </c>
      <c r="D4" s="3">
        <v>240</v>
      </c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>
        <v>100</v>
      </c>
      <c r="C5" s="3">
        <v>24</v>
      </c>
      <c r="D5" s="3">
        <v>240</v>
      </c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1BE0-CD66-F942-872D-854CE40C6F7F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1" t="s">
        <v>147</v>
      </c>
      <c r="C2" s="51"/>
      <c r="D2" s="51"/>
      <c r="F2" s="51" t="s">
        <v>148</v>
      </c>
      <c r="G2" s="51"/>
      <c r="H2" s="51"/>
      <c r="J2" s="51" t="s">
        <v>149</v>
      </c>
      <c r="K2" s="51"/>
      <c r="L2" s="51"/>
      <c r="N2" s="51" t="s">
        <v>150</v>
      </c>
      <c r="O2" s="51"/>
      <c r="P2" s="51"/>
      <c r="R2" s="51" t="s">
        <v>151</v>
      </c>
      <c r="S2" s="51"/>
      <c r="T2" s="51"/>
      <c r="V2" s="51" t="s">
        <v>152</v>
      </c>
      <c r="W2" s="51"/>
      <c r="X2" s="5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N25"/>
  <sheetViews>
    <sheetView showGridLines="0" zoomScale="140" zoomScaleNormal="140" workbookViewId="0">
      <selection activeCell="H12" sqref="H12"/>
    </sheetView>
  </sheetViews>
  <sheetFormatPr baseColWidth="10" defaultRowHeight="16" x14ac:dyDescent="0.2"/>
  <cols>
    <col min="1" max="1" width="4.83203125" style="1" customWidth="1"/>
    <col min="2" max="11" width="10.83203125" style="1"/>
  </cols>
  <sheetData>
    <row r="2" spans="1:11" x14ac:dyDescent="0.2">
      <c r="A2" s="12" t="s">
        <v>25</v>
      </c>
      <c r="B2" s="12" t="s">
        <v>105</v>
      </c>
      <c r="C2" s="12" t="s">
        <v>106</v>
      </c>
      <c r="D2" s="12" t="s">
        <v>107</v>
      </c>
      <c r="E2" s="12" t="s">
        <v>108</v>
      </c>
      <c r="F2" s="32" t="s">
        <v>110</v>
      </c>
      <c r="G2" s="33" t="s">
        <v>115</v>
      </c>
      <c r="H2" s="32" t="s">
        <v>113</v>
      </c>
      <c r="I2" s="32" t="s">
        <v>114</v>
      </c>
      <c r="J2" s="33" t="s">
        <v>103</v>
      </c>
      <c r="K2" s="33" t="s">
        <v>109</v>
      </c>
    </row>
    <row r="3" spans="1:11" x14ac:dyDescent="0.2">
      <c r="A3" s="3">
        <v>1</v>
      </c>
      <c r="B3" s="3">
        <v>0</v>
      </c>
      <c r="C3" s="3">
        <v>0</v>
      </c>
      <c r="D3" s="3">
        <v>20</v>
      </c>
      <c r="E3" s="3">
        <v>0</v>
      </c>
      <c r="F3" s="3">
        <v>800</v>
      </c>
      <c r="G3" s="3">
        <v>500</v>
      </c>
      <c r="H3" s="3">
        <v>4</v>
      </c>
      <c r="I3" s="3">
        <v>4</v>
      </c>
      <c r="J3" s="3"/>
      <c r="K3" s="3"/>
    </row>
    <row r="4" spans="1:11" x14ac:dyDescent="0.2">
      <c r="A4" s="3">
        <v>2</v>
      </c>
      <c r="B4" s="3">
        <v>5</v>
      </c>
      <c r="C4" s="3">
        <v>4</v>
      </c>
      <c r="D4" s="3">
        <v>25</v>
      </c>
      <c r="E4" s="3">
        <v>4</v>
      </c>
      <c r="F4" s="3">
        <v>800</v>
      </c>
      <c r="G4" s="3">
        <v>500</v>
      </c>
      <c r="H4" s="3">
        <v>4</v>
      </c>
      <c r="I4" s="3">
        <v>4</v>
      </c>
      <c r="J4" s="3"/>
      <c r="K4" s="3"/>
    </row>
    <row r="5" spans="1:11" x14ac:dyDescent="0.2">
      <c r="A5" s="3">
        <v>3</v>
      </c>
      <c r="B5" s="3">
        <v>10</v>
      </c>
      <c r="C5" s="3">
        <v>8</v>
      </c>
      <c r="D5" s="3">
        <v>30</v>
      </c>
      <c r="E5" s="3">
        <v>8</v>
      </c>
      <c r="F5" s="3">
        <v>800</v>
      </c>
      <c r="G5" s="3">
        <v>500</v>
      </c>
      <c r="H5" s="3">
        <v>4</v>
      </c>
      <c r="I5" s="3">
        <v>4</v>
      </c>
      <c r="J5" s="3"/>
      <c r="K5" s="3"/>
    </row>
    <row r="6" spans="1:11" x14ac:dyDescent="0.2">
      <c r="A6" s="3">
        <v>4</v>
      </c>
      <c r="B6" s="3">
        <v>15</v>
      </c>
      <c r="C6" s="3">
        <v>12</v>
      </c>
      <c r="D6" s="3">
        <v>35</v>
      </c>
      <c r="E6" s="3">
        <v>12</v>
      </c>
      <c r="F6" s="3">
        <v>800</v>
      </c>
      <c r="G6" s="3">
        <v>500</v>
      </c>
      <c r="H6" s="3">
        <v>4</v>
      </c>
      <c r="I6" s="3">
        <v>4</v>
      </c>
      <c r="J6" s="3"/>
      <c r="K6" s="3"/>
    </row>
    <row r="7" spans="1:11" x14ac:dyDescent="0.2">
      <c r="A7" s="3">
        <v>5</v>
      </c>
      <c r="B7" s="3">
        <v>20</v>
      </c>
      <c r="C7" s="3">
        <v>16</v>
      </c>
      <c r="D7" s="3">
        <v>40</v>
      </c>
      <c r="E7" s="3">
        <v>16</v>
      </c>
      <c r="F7" s="3">
        <v>800</v>
      </c>
      <c r="G7" s="3">
        <v>500</v>
      </c>
      <c r="H7" s="3">
        <v>4</v>
      </c>
      <c r="I7" s="3">
        <v>4</v>
      </c>
      <c r="J7" s="3"/>
      <c r="K7" s="3"/>
    </row>
    <row r="8" spans="1:11" x14ac:dyDescent="0.2">
      <c r="A8" s="3">
        <v>6</v>
      </c>
      <c r="B8" s="3">
        <v>25</v>
      </c>
      <c r="C8" s="3">
        <v>20</v>
      </c>
      <c r="D8" s="3">
        <v>45</v>
      </c>
      <c r="E8" s="3">
        <v>20</v>
      </c>
      <c r="F8" s="3">
        <v>800</v>
      </c>
      <c r="G8" s="3">
        <v>500</v>
      </c>
      <c r="H8" s="3">
        <v>4</v>
      </c>
      <c r="I8" s="3">
        <v>4</v>
      </c>
      <c r="J8" s="3"/>
      <c r="K8" s="3"/>
    </row>
    <row r="9" spans="1:11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4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4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4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M19" s="31"/>
      <c r="N19" s="9" t="s">
        <v>112</v>
      </c>
    </row>
    <row r="20" spans="1:14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M20" s="34"/>
      <c r="N20" s="9" t="s">
        <v>111</v>
      </c>
    </row>
    <row r="21" spans="1:14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4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4" x14ac:dyDescent="0.2">
      <c r="H24" s="9"/>
      <c r="I24" s="9"/>
    </row>
    <row r="25" spans="1:14" x14ac:dyDescent="0.2">
      <c r="H25" s="9"/>
      <c r="I25" s="9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R24"/>
  <sheetViews>
    <sheetView showGridLines="0" zoomScale="140" zoomScaleNormal="140" workbookViewId="0">
      <selection activeCell="G17" sqref="G17:H17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2" t="s">
        <v>140</v>
      </c>
      <c r="C2" s="52"/>
      <c r="E2" s="48" t="s">
        <v>135</v>
      </c>
      <c r="F2" s="48"/>
      <c r="H2" s="48" t="s">
        <v>136</v>
      </c>
      <c r="I2" s="48"/>
      <c r="K2" s="48" t="s">
        <v>137</v>
      </c>
      <c r="L2" s="48"/>
      <c r="N2" s="48" t="s">
        <v>138</v>
      </c>
      <c r="O2" s="48"/>
      <c r="Q2" s="48" t="s">
        <v>139</v>
      </c>
      <c r="R2" s="48"/>
    </row>
    <row r="3" spans="2:18" x14ac:dyDescent="0.2">
      <c r="B3" s="52"/>
      <c r="C3" s="52"/>
      <c r="E3" s="37" t="s">
        <v>97</v>
      </c>
      <c r="F3" s="38"/>
      <c r="H3" s="37" t="s">
        <v>97</v>
      </c>
      <c r="I3" s="38"/>
      <c r="K3" s="37" t="s">
        <v>97</v>
      </c>
      <c r="L3" s="38"/>
      <c r="N3" s="37" t="s">
        <v>97</v>
      </c>
      <c r="O3" s="38"/>
      <c r="Q3" s="37" t="s">
        <v>97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6292-DB08-1D46-A803-E893EDEE17F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3" t="s">
        <v>142</v>
      </c>
      <c r="C2" s="53"/>
      <c r="E2" s="49" t="s">
        <v>141</v>
      </c>
      <c r="F2" s="49"/>
      <c r="H2" s="49" t="s">
        <v>143</v>
      </c>
      <c r="I2" s="49"/>
      <c r="K2" s="49" t="s">
        <v>144</v>
      </c>
      <c r="L2" s="49"/>
      <c r="N2" s="49" t="s">
        <v>145</v>
      </c>
      <c r="O2" s="49"/>
      <c r="Q2" s="49" t="s">
        <v>146</v>
      </c>
      <c r="R2" s="49"/>
    </row>
    <row r="3" spans="2:18" x14ac:dyDescent="0.2">
      <c r="B3" s="53"/>
      <c r="C3" s="53"/>
      <c r="E3" s="39" t="s">
        <v>97</v>
      </c>
      <c r="F3" s="40"/>
      <c r="H3" s="39" t="s">
        <v>97</v>
      </c>
      <c r="I3" s="40"/>
      <c r="K3" s="39" t="s">
        <v>97</v>
      </c>
      <c r="L3" s="40"/>
      <c r="N3" s="39" t="s">
        <v>97</v>
      </c>
      <c r="O3" s="40"/>
      <c r="Q3" s="39" t="s">
        <v>97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</vt:i4>
      </vt:variant>
    </vt:vector>
  </HeadingPairs>
  <TitlesOfParts>
    <vt:vector size="18" baseType="lpstr">
      <vt:lpstr>main</vt:lpstr>
      <vt:lpstr>plot</vt:lpstr>
      <vt:lpstr>mat</vt:lpstr>
      <vt:lpstr>profile</vt:lpstr>
      <vt:lpstr>piezo</vt:lpstr>
      <vt:lpstr>circles</vt:lpstr>
      <vt:lpstr>non-circ</vt:lpstr>
      <vt:lpstr>dloads</vt:lpstr>
      <vt:lpstr>dloads (2)</vt:lpstr>
      <vt:lpstr>reinforce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2026-01-23T15:22:55Z</dcterms:modified>
</cp:coreProperties>
</file>