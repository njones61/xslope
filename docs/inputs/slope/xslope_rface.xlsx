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75EC81B6-AD75-8348-9E59-67F676A02D02}" xr6:coauthVersionLast="47" xr6:coauthVersionMax="47" xr10:uidLastSave="{00000000-0000-0000-0000-000000000000}"/>
  <bookViews>
    <workbookView xWindow="7240" yWindow="33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<sst xmlns="http://schemas.openxmlformats.org/spreadsheetml/2006/main" count="283" uniqueCount="156">
  <si>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</si>
  <si>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</si>
  <si>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</si>
  <si>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</si>
  <si>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</si>
  <si>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</si>
  <si>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</si>
  <si>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</si>
  <si>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</si>
  <si>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</si>
  <si>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</si>
  <si>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</si>
  <si>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</si>
  <si>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</si>
  <si>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</si>
  <si>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</si>
  <si>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</si>
  <si>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</si>
  <si>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</si>
  <si>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</si>
  <si>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</si>
  <si>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</si>
  <si>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</si>
  <si>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</si>
  <si>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</si>
  <si>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</si>
  <si>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</si>
  <si>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</si>
  <si>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</si>
  <si>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</si>
  <si>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</si>
  <si>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</si>
  <si>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</si>
  <si>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</si>
  <si>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</si>
  <si>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</si>
  <si>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</si>
  <si>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</si>
  <si>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</si>
  <si>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</si>
  <si>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</si>
  <si>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</si>
  <si>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</si>
  <si>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</si>
  <si>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</si>
  <si>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</si>
  <si>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</si>
  <si>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</si>
  <si>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</si>
  <si>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</si>
  <si>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</si>
  <si>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</si>
  <si>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</si>
  <si>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</si>
  <si>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</si>
  <si>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</si>
  <si>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</si>
  <si>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</si>
  <si>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</si>
  <si>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</si>
  <si>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</si>
  <si>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</si>
  <si>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</si>
  <si>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</si>
  <si>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</si>
  <si>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</si>
  <si>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</si>
  <si>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</si>
  <si>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</si>
  <si>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</si>
  <si>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</si>
  <si>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</si>
  <si>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</si>
  <si>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</si>
  <si>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</si>
  <si>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</si>
  <si>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</si>
  <si>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</si>
  <si>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</si>
  <si>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</si>
  <si>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</si>
  <si>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</si>
  <si>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</si>
  <si>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</si>
  <si>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</si>
  <si>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</si>
  <si>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</si>
  <si>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</si>
  <si>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</si>
  <si>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</si>
  <si>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</si>
  <si>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</si>
  <si>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</si>
  <si>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</si>
  <si>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</si>
  <si>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</si>
  <si>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</si>
  <si>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</si>
  <si>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</si>
  <si>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</si>
  <si>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</si>
  <si>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</si>
  <si>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</si>
  <si>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</si>
  <si>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</si>
  <si>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</si>
  <si>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</si>
  <si>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</si>
  <si>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</si>
  <si>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</si>
  <si>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</si>
  <si>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</si>
  <si>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</si>
  <si>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</si>
  <si>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</si>
  <si>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</si>
  <si>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</si>
  <si>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</si>
  <si>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</si>
  <si>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</si>
  <si>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</si>
  <si>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</si>
  <si>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</si>
  <si>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</si>
  <si>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</si>
  <si>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</si>
  <si>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</si>
  <si>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</si>
  <si>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</si>
  <si>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</si>
  <si>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</si>
  <si>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</si>
  <si>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</si>
  <si>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</si>
  <si>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</si>
  <si>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</si>
  <si>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</si>
  <si>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</si>
  <si>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</si>
  <si>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</si>
  <si>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</si>
  <si>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</si>
  <si>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</si>
  <si>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</si>
  <si>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</si>
  <si>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</si>
  <si>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</si>
  <si>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</si>
  <si>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</si>
  <si>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</si>
  <si>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</si>
  <si>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</si>
  <si>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</si>
  <si>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</si>
  <si>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Sand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</si>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</sst>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174.7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84</c:v>
                </c:pt>
                <c:pt idx="1">
                  <c:v>84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174.7</c:v>
                </c:pt>
                <c:pt idx="2">
                  <c:v>204.3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64</c:v>
                </c:pt>
                <c:pt idx="1">
                  <c:v>64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75</c:v>
                </c:pt>
                <c:pt idx="2">
                  <c:v>112</c:v>
                </c:pt>
                <c:pt idx="3">
                  <c:v>140</c:v>
                </c:pt>
                <c:pt idx="4">
                  <c:v>170</c:v>
                </c:pt>
                <c:pt idx="5">
                  <c:v>189.5</c:v>
                </c:pt>
                <c:pt idx="6">
                  <c:v>204.3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80</c:v>
                </c:pt>
                <c:pt idx="1">
                  <c:v>79</c:v>
                </c:pt>
                <c:pt idx="2">
                  <c:v>76</c:v>
                </c:pt>
                <c:pt idx="3">
                  <c:v>70</c:v>
                </c:pt>
                <c:pt idx="4">
                  <c:v>61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150</c:v>
                </c:pt>
                <c:pt idx="1">
                  <c:v>204.3</c:v>
                </c:pt>
                <c:pt idx="2">
                  <c:v>320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84</c:v>
                </c:pt>
                <c:pt idx="1">
                  <c:v>40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K21" sqref="K2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opLeftCell="E1" zoomScale="140" zoomScaleNormal="140" workbookViewId="0">
      <selection activeCell="V16" sqref="V16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5">
        <v>700000</v>
      </c>
      <c r="X9" s="3">
        <v>0.3</v>
      </c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55">
        <v>700000</v>
      </c>
      <c r="X10" s="3">
        <v>0.3</v>
      </c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55">
        <v>700000</v>
      </c>
      <c r="X11" s="3">
        <v>0.3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M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2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1" xr:uid="{AD3D4931-9E16-5643-BAA0-FF35D2050D29}">
      <formula1>$S$6:$S$7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H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116</v>
      </c>
      <c r="AF4" s="46"/>
      <c r="AG4" s="1"/>
      <c r="AH4" s="46" t="s">
        <v>117</v>
      </c>
      <c r="AI4" s="46"/>
      <c r="AJ4" s="1"/>
      <c r="AK4" s="46" t="s">
        <v>118</v>
      </c>
      <c r="AL4" s="46"/>
      <c r="AM4" s="1"/>
      <c r="AN4" s="46" t="s">
        <v>119</v>
      </c>
      <c r="AO4" s="46"/>
      <c r="AP4" s="1"/>
      <c r="AQ4" s="46" t="s">
        <v>120</v>
      </c>
      <c r="AR4" s="46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7" t="str">
        <f>_xlfn.XLOOKUP(B5,mat!$A:$A, mat!$B:$B,"") &amp; ""</f>
        <v>Silt</v>
      </c>
      <c r="B6" s="48"/>
      <c r="D6" s="47" t="str">
        <f>_xlfn.XLOOKUP(E5,mat!$A:$A, mat!$B:$B,"") &amp; ""</f>
        <v>Sand</v>
      </c>
      <c r="E6" s="48"/>
      <c r="G6" s="47" t="str">
        <f>_xlfn.XLOOKUP(H5,mat!$A:$A, mat!$B:$B,"") &amp; ""</f>
        <v>Clay</v>
      </c>
      <c r="H6" s="48"/>
      <c r="J6" s="47" t="str">
        <f>_xlfn.XLOOKUP(K5,mat!$A:$A, mat!$B:$B,"") &amp; ""</f>
        <v/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16">
        <v>0</v>
      </c>
      <c r="B8" s="17">
        <v>84</v>
      </c>
      <c r="C8" s="43"/>
      <c r="D8" s="16">
        <v>0</v>
      </c>
      <c r="E8" s="17">
        <v>64</v>
      </c>
      <c r="F8" s="43"/>
      <c r="G8" s="16">
        <v>0</v>
      </c>
      <c r="H8" s="17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18">
        <v>150</v>
      </c>
      <c r="B9" s="19">
        <v>84</v>
      </c>
      <c r="C9" s="43"/>
      <c r="D9" s="18">
        <v>174.7</v>
      </c>
      <c r="E9" s="19">
        <v>64</v>
      </c>
      <c r="F9" s="43"/>
      <c r="G9" s="18">
        <v>320</v>
      </c>
      <c r="H9" s="19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18">
        <v>174.7</v>
      </c>
      <c r="B10" s="19">
        <v>64</v>
      </c>
      <c r="C10" s="43"/>
      <c r="D10" s="18">
        <v>204.3</v>
      </c>
      <c r="E10" s="19">
        <v>40</v>
      </c>
      <c r="F10" s="43"/>
      <c r="G10" s="18"/>
      <c r="H10" s="19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80</v>
      </c>
      <c r="D4" s="3"/>
      <c r="E4" s="3"/>
    </row>
    <row r="5" spans="1:7" x14ac:dyDescent="0.2">
      <c r="A5" s="3">
        <v>75</v>
      </c>
      <c r="B5" s="3">
        <v>79</v>
      </c>
      <c r="D5" s="3"/>
      <c r="E5" s="3"/>
    </row>
    <row r="6" spans="1:7" x14ac:dyDescent="0.2">
      <c r="A6" s="3">
        <v>112</v>
      </c>
      <c r="B6" s="3">
        <v>76</v>
      </c>
      <c r="D6" s="3"/>
      <c r="E6" s="3"/>
    </row>
    <row r="7" spans="1:7" x14ac:dyDescent="0.2">
      <c r="A7" s="3">
        <v>140</v>
      </c>
      <c r="B7" s="3">
        <v>70</v>
      </c>
      <c r="D7" s="3"/>
      <c r="E7" s="3"/>
    </row>
    <row r="8" spans="1:7" x14ac:dyDescent="0.2">
      <c r="A8" s="3">
        <v>170</v>
      </c>
      <c r="B8" s="3">
        <v>61</v>
      </c>
      <c r="D8" s="3"/>
      <c r="E8" s="3"/>
    </row>
    <row r="9" spans="1:7" x14ac:dyDescent="0.2">
      <c r="A9" s="3">
        <v>189.5</v>
      </c>
      <c r="B9" s="3">
        <v>52</v>
      </c>
      <c r="D9" s="3"/>
      <c r="E9" s="3"/>
    </row>
    <row r="10" spans="1:7" x14ac:dyDescent="0.2">
      <c r="A10" s="3">
        <v>204.3</v>
      </c>
      <c r="B10" s="3">
        <v>40</v>
      </c>
      <c r="D10" s="3"/>
      <c r="E10" s="3"/>
    </row>
    <row r="11" spans="1:7" x14ac:dyDescent="0.2">
      <c r="A11" s="3">
        <v>320</v>
      </c>
      <c r="B11" s="3">
        <v>40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175</v>
      </c>
      <c r="C3" s="3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175</v>
      </c>
      <c r="C4" s="3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5A662065-905E-B648-88D3-0AA0500DD384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B10" sqref="B10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>
        <v>80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16">
        <v>150</v>
      </c>
      <c r="C5" s="17">
        <v>84</v>
      </c>
      <c r="E5" s="3">
        <v>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18">
        <v>204.3</v>
      </c>
      <c r="C6" s="19">
        <v>40</v>
      </c>
      <c r="E6" s="3">
        <v>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18">
        <v>320</v>
      </c>
      <c r="C7" s="19">
        <v>40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2026-02-11T19:39:57Z</dcterms:modified>
</cp:coreProperties>
</file>