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A4EF2E34-D733-5B43-BA55-58EC7C920AFB}" xr6:coauthVersionLast="47" xr6:coauthVersionMax="47" xr10:uidLastSave="{00000000-0000-0000-0000-000000000000}"/>
  <bookViews>
    <workbookView xWindow="25040" yWindow="2500" windowWidth="42700" windowHeight="2280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" i="3" l="1"/>
  <c r="M9" i="3"/>
  <c r="L9" i="3"/>
  <c r="AQ6" i="15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<sst xmlns="http://schemas.openxmlformats.org/spreadsheetml/2006/main" count="362" uniqueCount="182">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</sst>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30</c:v>
                </c:pt>
                <c:pt idx="2">
                  <c:v>50</c:v>
                </c:pt>
                <c:pt idx="3">
                  <c:v>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25</c:v>
                </c:pt>
                <c:pt idx="1">
                  <c:v>25</c:v>
                </c:pt>
                <c:pt idx="2">
                  <c:v>35</c:v>
                </c:pt>
                <c:pt idx="3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/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zoomScale="140" zoomScaleNormal="140" workbookViewId="0">
      <selection activeCell="N10" sqref="N1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 t="s">
        <v>100</v>
      </c>
      <c r="X7" s="49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181</v>
      </c>
      <c r="C9" s="3">
        <v>20</v>
      </c>
      <c r="D9" s="3" t="s">
        <v>67</v>
      </c>
      <c r="E9" s="3">
        <v>3</v>
      </c>
      <c r="F9" s="3">
        <v>19.600000000000001</v>
      </c>
      <c r="G9" s="3"/>
      <c r="H9" s="3"/>
      <c r="I9" s="3"/>
      <c r="J9" s="3"/>
      <c r="K9" s="3" t="s">
        <v>88</v>
      </c>
      <c r="L9" s="3">
        <f>C9*0.06</f>
        <v>1.2</v>
      </c>
      <c r="M9" s="3">
        <f>E9*0.6</f>
        <v>1.7999999999999998</v>
      </c>
      <c r="N9" s="3">
        <f>F9*0.14</f>
        <v>2.7440000000000007</v>
      </c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2" sqref="A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</v>
      </c>
      <c r="D2" s="27" t="s">
        <v>94</v>
      </c>
    </row>
    <row r="4" spans="1:44" x14ac:dyDescent="0.2">
      <c r="A4" s="50" t="s">
        <v>2</v>
      </c>
      <c r="B4" s="50"/>
      <c r="D4" s="50" t="s">
        <v>5</v>
      </c>
      <c r="E4" s="50"/>
      <c r="G4" s="50" t="s">
        <v>6</v>
      </c>
      <c r="H4" s="50"/>
      <c r="J4" s="50" t="s">
        <v>7</v>
      </c>
      <c r="K4" s="50"/>
      <c r="M4" s="50" t="s">
        <v>8</v>
      </c>
      <c r="N4" s="50"/>
      <c r="P4" s="50" t="s">
        <v>9</v>
      </c>
      <c r="Q4" s="50"/>
      <c r="R4" s="1"/>
      <c r="S4" s="50" t="s">
        <v>10</v>
      </c>
      <c r="T4" s="50"/>
      <c r="U4" s="1"/>
      <c r="V4" s="50" t="s">
        <v>11</v>
      </c>
      <c r="W4" s="50"/>
      <c r="X4" s="1"/>
      <c r="Y4" s="50" t="s">
        <v>12</v>
      </c>
      <c r="Z4" s="50"/>
      <c r="AA4" s="1"/>
      <c r="AB4" s="50" t="s">
        <v>13</v>
      </c>
      <c r="AC4" s="50"/>
      <c r="AE4" s="50" t="s">
        <v>114</v>
      </c>
      <c r="AF4" s="50"/>
      <c r="AG4" s="1"/>
      <c r="AH4" s="50" t="s">
        <v>115</v>
      </c>
      <c r="AI4" s="50"/>
      <c r="AJ4" s="1"/>
      <c r="AK4" s="50" t="s">
        <v>116</v>
      </c>
      <c r="AL4" s="50"/>
      <c r="AM4" s="1"/>
      <c r="AN4" s="50" t="s">
        <v>117</v>
      </c>
      <c r="AO4" s="50"/>
      <c r="AP4" s="1"/>
      <c r="AQ4" s="50" t="s">
        <v>118</v>
      </c>
      <c r="AR4" s="50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1" t="str">
        <f>_xlfn.XLOOKUP(B5,mat!$A:$A, mat!$B:$B,"") &amp; ""</f>
        <v>Soil</v>
      </c>
      <c r="B6" s="52"/>
      <c r="D6" s="51" t="str">
        <f>_xlfn.XLOOKUP(E5,mat!$A:$A, mat!$B:$B,"") &amp; ""</f>
        <v/>
      </c>
      <c r="E6" s="52"/>
      <c r="G6" s="51" t="str">
        <f>_xlfn.XLOOKUP(H5,mat!$A:$A, mat!$B:$B,"") &amp; ""</f>
        <v/>
      </c>
      <c r="H6" s="52"/>
      <c r="J6" s="51" t="str">
        <f>_xlfn.XLOOKUP(K5,mat!$A:$A, mat!$B:$B,"") &amp; ""</f>
        <v/>
      </c>
      <c r="K6" s="52"/>
      <c r="M6" s="51" t="str">
        <f>_xlfn.XLOOKUP(N5,mat!$A:$A, mat!$B:$B,"") &amp; ""</f>
        <v/>
      </c>
      <c r="N6" s="52"/>
      <c r="P6" s="51" t="str">
        <f>_xlfn.XLOOKUP(Q5,mat!$A:$A, mat!$B:$B,"") &amp; ""</f>
        <v/>
      </c>
      <c r="Q6" s="52"/>
      <c r="R6" s="1"/>
      <c r="S6" s="51" t="str">
        <f>_xlfn.XLOOKUP(T5,mat!$A:$A, mat!$B:$B,"") &amp; ""</f>
        <v/>
      </c>
      <c r="T6" s="52"/>
      <c r="U6" s="1"/>
      <c r="V6" s="51" t="str">
        <f>_xlfn.XLOOKUP(W5,mat!$A:$A, mat!$B:$B,"") &amp; ""</f>
        <v/>
      </c>
      <c r="W6" s="52"/>
      <c r="X6" s="1"/>
      <c r="Y6" s="51" t="str">
        <f>_xlfn.XLOOKUP(Z5,mat!$A:$A, mat!$B:$B,"") &amp; ""</f>
        <v/>
      </c>
      <c r="Z6" s="52"/>
      <c r="AA6" s="1"/>
      <c r="AB6" s="51" t="str">
        <f>_xlfn.XLOOKUP(AC5,mat!$A:$A, mat!$B:$B,"") &amp; ""</f>
        <v/>
      </c>
      <c r="AC6" s="52"/>
      <c r="AE6" s="51" t="str">
        <f>_xlfn.XLOOKUP(AF5,mat!$A:$A, mat!$B:$B,"") &amp; ""</f>
        <v/>
      </c>
      <c r="AF6" s="52"/>
      <c r="AG6" s="1"/>
      <c r="AH6" s="51" t="str">
        <f>_xlfn.XLOOKUP(AI5,mat!$A:$A, mat!$B:$B,"") &amp; ""</f>
        <v/>
      </c>
      <c r="AI6" s="52"/>
      <c r="AJ6" s="1"/>
      <c r="AK6" s="51" t="str">
        <f>_xlfn.XLOOKUP(AL5,mat!$A:$A, mat!$B:$B,"") &amp; ""</f>
        <v/>
      </c>
      <c r="AL6" s="52"/>
      <c r="AM6" s="1"/>
      <c r="AN6" s="51" t="str">
        <f>_xlfn.XLOOKUP(AO5,mat!$A:$A, mat!$B:$B,"") &amp; ""</f>
        <v/>
      </c>
      <c r="AO6" s="52"/>
      <c r="AP6" s="1"/>
      <c r="AQ6" s="51" t="str">
        <f>_xlfn.XLOOKUP(AR5,mat!$A:$A, mat!$B:$B,"") &amp; ""</f>
        <v/>
      </c>
      <c r="AR6" s="52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25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</v>
      </c>
      <c r="B9" s="3">
        <v>25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</v>
      </c>
      <c r="B10" s="3">
        <v>35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</v>
      </c>
      <c r="B11" s="3">
        <v>35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0" t="s">
        <v>153</v>
      </c>
      <c r="B4" s="50"/>
      <c r="D4" s="50" t="s">
        <v>154</v>
      </c>
      <c r="E4" s="50"/>
      <c r="G4" s="50" t="s">
        <v>155</v>
      </c>
      <c r="H4" s="50"/>
      <c r="J4" s="50" t="s">
        <v>156</v>
      </c>
      <c r="K4" s="50"/>
      <c r="M4" s="50" t="s">
        <v>157</v>
      </c>
      <c r="N4" s="50"/>
      <c r="P4" s="50" t="s">
        <v>158</v>
      </c>
      <c r="Q4" s="50"/>
      <c r="R4" s="1"/>
      <c r="S4" s="50" t="s">
        <v>159</v>
      </c>
      <c r="T4" s="50"/>
      <c r="U4" s="1"/>
      <c r="V4" s="50" t="s">
        <v>160</v>
      </c>
      <c r="W4" s="50"/>
      <c r="X4" s="1"/>
      <c r="Y4" s="50" t="s">
        <v>161</v>
      </c>
      <c r="Z4" s="50"/>
      <c r="AA4" s="1"/>
      <c r="AB4" s="50" t="s">
        <v>162</v>
      </c>
      <c r="AC4" s="50"/>
      <c r="AE4" s="50" t="s">
        <v>163</v>
      </c>
      <c r="AF4" s="50"/>
      <c r="AG4" s="1"/>
      <c r="AH4" s="50" t="s">
        <v>164</v>
      </c>
      <c r="AI4" s="50"/>
      <c r="AJ4" s="1"/>
      <c r="AK4" s="50" t="s">
        <v>165</v>
      </c>
      <c r="AL4" s="50"/>
      <c r="AM4" s="1"/>
      <c r="AN4" s="50" t="s">
        <v>166</v>
      </c>
      <c r="AO4" s="50"/>
      <c r="AP4" s="1"/>
      <c r="AQ4" s="50" t="s">
        <v>167</v>
      </c>
      <c r="AR4" s="50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>Soil</v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/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40</v>
      </c>
      <c r="C3" s="3">
        <v>45</v>
      </c>
      <c r="D3" s="3" t="s">
        <v>32</v>
      </c>
      <c r="E3" s="3"/>
      <c r="F3" s="3">
        <v>30</v>
      </c>
      <c r="G3" s="3">
        <v>25</v>
      </c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42</v>
      </c>
      <c r="C4" s="3">
        <v>48</v>
      </c>
      <c r="D4" s="3" t="s">
        <v>26</v>
      </c>
      <c r="E4" s="3">
        <v>20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zoomScale="140" zoomScaleNormal="140" workbookViewId="0">
      <selection activeCell="R23" sqref="R2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2026-06-23T22:42:23Z</dcterms:modified>
</cp:coreProperties>
</file>