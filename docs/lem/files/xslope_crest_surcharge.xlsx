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Imperial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/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>
        <v>62.4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>
        <v>0.0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>
        <v>0.0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>
        <v>0.0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  <c r="D14"/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  <c r="D15"/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  <c r="D16"/>
    </row>
    <row r="17">
      <c r="B17" s="52" t="n"/>
      <c r="C17" s="14" t="inlineStr">
        <is>
          <t>Tension SRF (FEM):</t>
        </is>
      </c>
      <c r="D17" s="52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  <c r="D18"/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  <c r="D19"/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  <c r="D20"/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  <c r="D21"/>
    </row>
    <row r="22">
      <c r="C22" s="14" t="inlineStr">
        <is>
          <t>Side BC:</t>
        </is>
      </c>
      <c r="D22" s="52"/>
      <c r="F22" s="52" t="n"/>
    </row>
    <row r="23">
      <c r="B23" s="52" t="n"/>
      <c r="C23" s="14" t="inlineStr">
        <is>
          <t>Water loads:</t>
        </is>
      </c>
      <c r="D23" s="52" t="inlineStr">
        <is>
          <t>auto</t>
        </is>
      </c>
    </row>
    <row r="24">
      <c r="B24" s="52" t="n"/>
      <c r="C24" s="14" t="inlineStr">
        <is>
          <t>Surface family:</t>
        </is>
      </c>
      <c r="D24" s="52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8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  <dataValidation sqref="D24" showDropDown="0" showInputMessage="0" showErrorMessage="0" allowBlank="1" type="list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t>gsat</t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t>s(g)</t>
        </is>
      </c>
      <c r="AB10" s="46" t="inlineStr">
        <is>
          <t>s(c)</t>
        </is>
      </c>
      <c r="AC10" s="47" t="inlineStr">
        <is>
          <t>s(f)</t>
        </is>
      </c>
      <c r="AD10" s="46" t="inlineStr">
        <is>
          <t>s(c/p)</t>
        </is>
      </c>
      <c r="AE10" s="46" t="inlineStr">
        <is>
          <t>s(d)</t>
        </is>
      </c>
      <c r="AF10" s="47" t="inlineStr">
        <is>
          <t>s(psi)</t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>
        <v>1</v>
      </c>
      <c r="B11" s="3" t="inlineStr">
        <is>
          <t>soil</t>
        </is>
      </c>
      <c r="C11" s="3">
        <v>125.0</v>
      </c>
      <c r="D11" s="3" t="n"/>
      <c r="E11" s="3" t="inlineStr">
        <is>
          <t>mc</t>
        </is>
      </c>
      <c r="F11" s="3">
        <v>500.0</v>
      </c>
      <c r="G11" s="3">
        <v>0.0</v>
      </c>
      <c r="H11" s="3">
        <v>0.0</v>
      </c>
      <c r="I11" s="3">
        <v>0.0</v>
      </c>
      <c r="J11" s="3">
        <v>0.0</v>
      </c>
      <c r="K11" s="3">
        <v>0.0</v>
      </c>
      <c r="L11" s="3" t="n"/>
      <c r="M11" s="3">
        <v>0.0</v>
      </c>
      <c r="N11" s="3">
        <v>0.0</v>
      </c>
      <c r="O11" s="3" t="inlineStr">
        <is>
          <t>none</t>
        </is>
      </c>
      <c r="P11" s="3">
        <v>0.0</v>
      </c>
      <c r="Q11" s="3" t="n"/>
      <c r="R11" s="3" t="n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 t="n"/>
      <c r="AP11" s="3" t="n"/>
    </row>
    <row r="12">
      <c r="A12" s="3" t="n">
        <v>2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  <c r="AA12" s="3" t="n"/>
      <c r="AB12" s="3" t="n"/>
      <c r="AC12" s="3" t="n"/>
      <c r="AD12" s="3" t="n"/>
      <c r="AE12" s="3" t="n"/>
      <c r="AF12" s="3" t="n"/>
      <c r="AG12" s="3" t="n"/>
      <c r="AH12" s="3" t="n"/>
      <c r="AI12" s="3" t="n"/>
      <c r="AJ12" s="3" t="n"/>
      <c r="AK12" s="3" t="n"/>
      <c r="AL12" s="3" t="n"/>
      <c r="AM12" s="18" t="n"/>
      <c r="AN12" s="19" t="n"/>
      <c r="AO12" s="19" t="n"/>
      <c r="AP12" s="19" t="n"/>
    </row>
    <row r="13">
      <c r="A13" s="3" t="n">
        <v>3</v>
      </c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  <c r="AA13" s="3" t="n"/>
      <c r="AB13" s="3" t="n"/>
      <c r="AC13" s="3" t="n"/>
      <c r="AD13" s="3" t="n"/>
      <c r="AE13" s="3" t="n"/>
      <c r="AF13" s="3" t="n"/>
      <c r="AG13" s="3" t="n"/>
      <c r="AH13" s="3" t="n"/>
      <c r="AI13" s="3" t="n"/>
      <c r="AJ13" s="3" t="n"/>
      <c r="AK13" s="3" t="n"/>
      <c r="AL13" s="3" t="n"/>
      <c r="AM13" s="18" t="n"/>
      <c r="AN13" s="19" t="n"/>
      <c r="AO13" s="19" t="n"/>
      <c r="AP13" s="19" t="n"/>
    </row>
    <row r="14">
      <c r="A14" s="3" t="n">
        <v>4</v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  <c r="AP14" s="3" t="n"/>
    </row>
    <row r="15">
      <c r="A15" s="3" t="n">
        <v>5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>
        <v>0.0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>
        <v>1</v>
      </c>
      <c r="D5" s="56" t="inlineStr">
        <is>
          <t>Mat ID:</t>
        </is>
      </c>
      <c r="E5" s="37" t="n">
        <v>2</v>
      </c>
      <c r="G5" s="56" t="inlineStr">
        <is>
          <t>Mat ID:</t>
        </is>
      </c>
      <c r="H5" s="37" t="n">
        <v>3</v>
      </c>
      <c r="J5" s="56" t="inlineStr">
        <is>
          <t>Mat ID:</t>
        </is>
      </c>
      <c r="K5" s="37" t="n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>
        <v>0.0</v>
      </c>
      <c r="B9" s="3">
        <v>0.0</v>
      </c>
      <c r="D9" s="3" t="n"/>
      <c r="E9" s="3" t="n"/>
      <c r="G9" s="3" t="n"/>
      <c r="H9" s="3" t="n"/>
      <c r="J9" s="3" t="n"/>
      <c r="K9" s="3" t="n"/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>
        <v>20.0</v>
      </c>
      <c r="B10" s="3">
        <v>20.0</v>
      </c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>
        <v>60.0</v>
      </c>
      <c r="B11" s="3">
        <v>20.0</v>
      </c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0" sqref="A10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 t="n">
        <v>1</v>
      </c>
      <c r="D6" s="58" t="inlineStr">
        <is>
          <t>Mat ID:</t>
        </is>
      </c>
      <c r="E6" s="39" t="n">
        <v>2</v>
      </c>
      <c r="G6" s="58" t="inlineStr">
        <is>
          <t>Mat ID:</t>
        </is>
      </c>
      <c r="H6" s="39" t="n">
        <v>3</v>
      </c>
      <c r="J6" s="58" t="inlineStr">
        <is>
          <t>Mat ID:</t>
        </is>
      </c>
      <c r="K6" s="39" t="n">
        <v>4</v>
      </c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 t="n"/>
      <c r="D8" s="58" t="inlineStr">
        <is>
          <t>Size:</t>
        </is>
      </c>
      <c r="E8" s="39" t="n"/>
      <c r="G8" s="58" t="inlineStr">
        <is>
          <t>Size:</t>
        </is>
      </c>
      <c r="H8" s="39" t="n"/>
      <c r="J8" s="58" t="inlineStr">
        <is>
          <t>Size:</t>
        </is>
      </c>
      <c r="K8" s="39" t="n"/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piezo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 t="n"/>
      <c r="B5" s="3" t="n"/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 t="n"/>
      <c r="B6" s="3" t="n"/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 t="n"/>
      <c r="B7" s="3" t="n"/>
      <c r="D7" s="3" t="n"/>
      <c r="E7" s="3" t="n"/>
    </row>
    <row r="8">
      <c r="A8" s="3" t="n"/>
      <c r="B8" s="3" t="n"/>
      <c r="D8" s="3" t="n"/>
      <c r="E8" s="3" t="n"/>
    </row>
    <row r="9">
      <c r="A9" s="3" t="n"/>
      <c r="B9" s="3" t="n"/>
      <c r="D9" s="3" t="n"/>
      <c r="E9" s="3" t="n"/>
    </row>
    <row r="10">
      <c r="A10" s="3" t="n"/>
      <c r="B10" s="3" t="n"/>
      <c r="D10" s="3" t="n"/>
      <c r="E10" s="3" t="n"/>
    </row>
    <row r="11">
      <c r="A11" s="3" t="n"/>
      <c r="B11" s="3" t="n"/>
      <c r="D11" s="3" t="n"/>
      <c r="E11" s="3" t="n"/>
    </row>
    <row r="12">
      <c r="A12" s="3" t="n"/>
      <c r="B12" s="3" t="n"/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>
        <v>1</v>
      </c>
      <c r="B3" s="3">
        <v>10.0</v>
      </c>
      <c r="C3" s="3">
        <v>40.0</v>
      </c>
      <c r="D3" s="3" t="inlineStr">
        <is>
          <t>Depth</t>
        </is>
      </c>
      <c r="E3" s="3">
        <v>0.0</v>
      </c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  <c r="K8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  <c r="K9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  <c r="K10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  <c r="K11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  <c r="K12"/>
    </row>
    <row r="13">
      <c r="J13" s="14" t="inlineStr">
        <is>
          <t>Center box X max:</t>
        </is>
      </c>
      <c r="K13"/>
    </row>
    <row r="14">
      <c r="J14" s="14" t="inlineStr">
        <is>
          <t>Center box Y min:</t>
        </is>
      </c>
      <c r="K14"/>
    </row>
    <row r="15">
      <c r="J15" s="14" t="inlineStr">
        <is>
          <t>Center box Y max:</t>
        </is>
      </c>
      <c r="K15"/>
    </row>
    <row r="16">
      <c r="J16" s="14" t="inlineStr">
        <is>
          <t>Max tangent depth:</t>
        </is>
      </c>
      <c r="K16" s="52"/>
      <c r="L16" s="52" t="n"/>
      <c r="M16" s="52" t="n"/>
      <c r="N16" s="52" t="n"/>
    </row>
    <row r="17">
      <c r="J17" s="14" t="inlineStr">
        <is>
          <t>Min slip depth:</t>
        </is>
      </c>
      <c r="K17"/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C3" sqref="C3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 t="n"/>
      <c r="B3" s="3" t="n"/>
      <c r="C3" s="3" t="n"/>
      <c r="E3" t="inlineStr">
        <is>
          <t>Free</t>
        </is>
      </c>
      <c r="F3" t="inlineStr">
        <is>
          <t>Unrestricted movement</t>
        </is>
      </c>
    </row>
    <row r="4">
      <c r="A4" s="3" t="n"/>
      <c r="B4" s="3" t="n"/>
      <c r="C4" s="3" t="n"/>
      <c r="E4" t="inlineStr">
        <is>
          <t>Horiz</t>
        </is>
      </c>
      <c r="F4" t="inlineStr">
        <is>
          <t>Horizontal only</t>
        </is>
      </c>
    </row>
    <row r="5">
      <c r="A5" s="3" t="n"/>
      <c r="B5" s="3" t="n"/>
      <c r="C5" s="3" t="n"/>
      <c r="E5" t="inlineStr">
        <is>
          <t>Fixed</t>
        </is>
      </c>
      <c r="F5" t="inlineStr">
        <is>
          <t>Does not move</t>
        </is>
      </c>
    </row>
    <row r="6">
      <c r="A6" s="3" t="n"/>
      <c r="B6" s="3" t="n"/>
      <c r="C6" s="3" t="n"/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A1" sqref="A1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>
        <v>25.0</v>
      </c>
      <c r="C7" s="3">
        <v>20.0</v>
      </c>
      <c r="D7" s="3">
        <v>750.0</v>
      </c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>
        <v>35.0</v>
      </c>
      <c r="C8" s="3">
        <v>20.0</v>
      </c>
      <c r="D8" s="3">
        <v>750.0</v>
      </c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Q26" sqref="Q26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>
        <f>IF($G3="","",IFERROR(VLOOKUP($G3,$Z$8:$AB$11,2,0),""))</f>
        <v/>
      </c>
      <c r="I3" s="3">
        <f>IF($G3="","",IFERROR(VLOOKUP($G3,$Z$8:$AB$11,3,0),""))</f>
        <v/>
      </c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>
        <f>IF($G4="","",IFERROR(VLOOKUP($G4,$Z$8:$AB$11,2,0),""))</f>
        <v/>
      </c>
      <c r="I4" s="3">
        <f>IF($G4="","",IFERROR(VLOOKUP($G4,$Z$8:$AB$11,3,0),""))</f>
        <v/>
      </c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Z4" t="inlineStr">
        <is>
          <t>Tieback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>
        <f>IF($G5="","",IFERROR(VLOOKUP($G5,$Z$8:$AB$11,2,0),""))</f>
        <v/>
      </c>
      <c r="I5" s="3">
        <f>IF($G5="","",IFERROR(VLOOKUP($G5,$Z$8:$AB$11,3,0),""))</f>
        <v/>
      </c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Z5" t="inlineStr">
        <is>
          <t>Anchor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>
        <f>IF($G6="","",IFERROR(VLOOKUP($G6,$Z$8:$AB$11,2,0),""))</f>
        <v/>
      </c>
      <c r="I6" s="3">
        <f>IF($G6="","",IFERROR(VLOOKUP($G6,$Z$8:$AB$11,3,0),""))</f>
        <v/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>
        <f>IF($G7="","",IFERROR(VLOOKUP($G7,$Z$8:$AB$11,2,0),""))</f>
        <v/>
      </c>
      <c r="I7" s="3">
        <f>IF($G7="","",IFERROR(VLOOKUP($G7,$Z$8:$AB$11,3,0),""))</f>
        <v/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S16" sqref="S16:T18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t>qp</t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head</t>
        </is>
      </c>
      <c r="F3" s="33" t="n"/>
      <c r="H3" s="32" t="inlineStr">
        <is>
          <t>head</t>
        </is>
      </c>
      <c r="I3" s="33" t="n"/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B3" sqref="B3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t1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 t="n"/>
      <c r="C3" s="3" t="n"/>
      <c r="D3" s="3" t="n"/>
      <c r="E3" s="3" t="n"/>
      <c r="F3" s="3" t="n"/>
      <c r="G3" s="3" t="n"/>
      <c r="I3" s="14" t="inlineStr">
        <is>
          <t>duration:</t>
        </is>
      </c>
      <c r="J3" s="3" t="n"/>
    </row>
    <row r="4">
      <c r="B4" s="3" t="n"/>
      <c r="C4" s="3" t="n"/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 t="n"/>
    </row>
    <row r="13">
      <c r="B13" s="3" t="n"/>
      <c r="C13" s="3" t="n"/>
      <c r="D13" s="3" t="n"/>
      <c r="E13" s="3" t="n"/>
      <c r="F13" s="3" t="n"/>
      <c r="G13" s="3" t="n"/>
      <c r="J13" s="4" t="n"/>
    </row>
    <row r="14">
      <c r="B14" s="3" t="n"/>
      <c r="C14" s="3" t="n"/>
      <c r="D14" s="3" t="n"/>
      <c r="E14" s="3" t="n"/>
      <c r="F14" s="3" t="n"/>
      <c r="G14" s="3" t="n"/>
      <c r="J14" s="4" t="n"/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2026-07-31T14:08:49Z</dcterms:modified>
  <cp:lastModifiedBy>Norm Jones</cp:lastModifiedBy>
</cp:coreProperties>
</file>