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A9AA747A-7DE0-5B4D-A106-354C45B36FD6}" xr6:coauthVersionLast="47" xr6:coauthVersionMax="47" xr10:uidLastSave="{00000000-0000-0000-0000-000000000000}"/>
  <bookViews>
    <workbookView xWindow="27700" yWindow="190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3" l="1"/>
  <c r="L9" i="3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<sst xmlns="http://schemas.openxmlformats.org/spreadsheetml/2006/main" count="279" uniqueCount="154">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</sst>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-70</c:v>
                </c:pt>
                <c:pt idx="1">
                  <c:v>0</c:v>
                </c:pt>
                <c:pt idx="2">
                  <c:v>60</c:v>
                </c:pt>
                <c:pt idx="3">
                  <c:v>180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40</c:v>
                </c:pt>
                <c:pt idx="3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D26" sqref="D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K12" sqref="K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3" t="s">
        <v>57</v>
      </c>
      <c r="D7" s="43"/>
      <c r="E7" s="43"/>
      <c r="F7" s="43"/>
      <c r="G7" s="43"/>
      <c r="H7" s="43"/>
      <c r="I7" s="43"/>
      <c r="J7" s="43"/>
      <c r="K7" s="1"/>
      <c r="L7" s="43" t="s">
        <v>58</v>
      </c>
      <c r="M7" s="43"/>
      <c r="N7" s="43"/>
      <c r="O7" s="43"/>
      <c r="P7" s="43"/>
      <c r="Q7" s="43"/>
      <c r="R7" s="43" t="s">
        <v>93</v>
      </c>
      <c r="S7" s="43"/>
      <c r="T7" s="43"/>
      <c r="U7" s="43"/>
      <c r="V7" s="43"/>
      <c r="W7" s="43" t="s">
        <v>100</v>
      </c>
      <c r="X7" s="43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152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153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151</v>
      </c>
      <c r="C9" s="3">
        <v>124</v>
      </c>
      <c r="D9" s="3" t="s">
        <v>67</v>
      </c>
      <c r="E9" s="3">
        <v>1200</v>
      </c>
      <c r="F9" s="3">
        <v>0</v>
      </c>
      <c r="G9" s="3"/>
      <c r="H9" s="3"/>
      <c r="I9" s="3"/>
      <c r="J9" s="3"/>
      <c r="K9" s="3" t="s">
        <v>88</v>
      </c>
      <c r="L9" s="3">
        <f>0.06*C9</f>
        <v>7.4399999999999995</v>
      </c>
      <c r="M9" s="3">
        <f>0.35*E9</f>
        <v>420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2" sqref="A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-15</v>
      </c>
      <c r="D2" s="27" t="s">
        <v>94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114</v>
      </c>
      <c r="AF4" s="47"/>
      <c r="AG4" s="1"/>
      <c r="AH4" s="47" t="s">
        <v>115</v>
      </c>
      <c r="AI4" s="47"/>
      <c r="AJ4" s="1"/>
      <c r="AK4" s="47" t="s">
        <v>116</v>
      </c>
      <c r="AL4" s="47"/>
      <c r="AM4" s="1"/>
      <c r="AN4" s="47" t="s">
        <v>117</v>
      </c>
      <c r="AO4" s="47"/>
      <c r="AP4" s="1"/>
      <c r="AQ4" s="47" t="s">
        <v>118</v>
      </c>
      <c r="AR4" s="47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5" t="str">
        <f>_xlfn.XLOOKUP(B5,mat!$A:$A, mat!$B:$B,"") &amp; ""</f>
        <v>soil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</v>
      </c>
      <c r="B10" s="3">
        <v>40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</v>
      </c>
      <c r="B11" s="3">
        <v>40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84</v>
      </c>
      <c r="B2" s="48"/>
      <c r="D2" s="49" t="s">
        <v>82</v>
      </c>
      <c r="E2" s="4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80</v>
      </c>
      <c r="D3" s="3" t="s">
        <v>26</v>
      </c>
      <c r="E3" s="3">
        <v>-15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127</v>
      </c>
      <c r="C2" s="50"/>
      <c r="D2" s="50"/>
      <c r="F2" s="50" t="s">
        <v>128</v>
      </c>
      <c r="G2" s="50"/>
      <c r="H2" s="50"/>
      <c r="J2" s="50" t="s">
        <v>129</v>
      </c>
      <c r="K2" s="50"/>
      <c r="L2" s="50"/>
      <c r="N2" s="50" t="s">
        <v>130</v>
      </c>
      <c r="O2" s="50"/>
      <c r="P2" s="50"/>
      <c r="R2" s="50" t="s">
        <v>131</v>
      </c>
      <c r="S2" s="50"/>
      <c r="T2" s="50"/>
      <c r="V2" s="50" t="s">
        <v>132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145</v>
      </c>
      <c r="C2" s="51"/>
      <c r="D2" s="51"/>
      <c r="F2" s="51" t="s">
        <v>146</v>
      </c>
      <c r="G2" s="51"/>
      <c r="H2" s="51"/>
      <c r="J2" s="51" t="s">
        <v>147</v>
      </c>
      <c r="K2" s="51"/>
      <c r="L2" s="51"/>
      <c r="N2" s="51" t="s">
        <v>148</v>
      </c>
      <c r="O2" s="51"/>
      <c r="P2" s="51"/>
      <c r="R2" s="51" t="s">
        <v>149</v>
      </c>
      <c r="S2" s="51"/>
      <c r="T2" s="51"/>
      <c r="V2" s="51" t="s">
        <v>150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138</v>
      </c>
      <c r="C2" s="52"/>
      <c r="E2" s="48" t="s">
        <v>133</v>
      </c>
      <c r="F2" s="48"/>
      <c r="H2" s="48" t="s">
        <v>134</v>
      </c>
      <c r="I2" s="48"/>
      <c r="K2" s="48" t="s">
        <v>135</v>
      </c>
      <c r="L2" s="48"/>
      <c r="N2" s="48" t="s">
        <v>136</v>
      </c>
      <c r="O2" s="48"/>
      <c r="Q2" s="48" t="s">
        <v>137</v>
      </c>
      <c r="R2" s="48"/>
    </row>
    <row r="3" spans="2:18" x14ac:dyDescent="0.2">
      <c r="B3" s="52"/>
      <c r="C3" s="52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139</v>
      </c>
      <c r="F2" s="49"/>
      <c r="H2" s="49" t="s">
        <v>141</v>
      </c>
      <c r="I2" s="49"/>
      <c r="K2" s="49" t="s">
        <v>142</v>
      </c>
      <c r="L2" s="49"/>
      <c r="N2" s="49" t="s">
        <v>143</v>
      </c>
      <c r="O2" s="49"/>
      <c r="Q2" s="49" t="s">
        <v>144</v>
      </c>
      <c r="R2" s="49"/>
    </row>
    <row r="3" spans="2:18" x14ac:dyDescent="0.2">
      <c r="B3" s="53"/>
      <c r="C3" s="53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2026-06-23T20:55:54Z</dcterms:modified>
</cp:coreProperties>
</file>