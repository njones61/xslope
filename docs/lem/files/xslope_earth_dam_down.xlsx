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<sst xmlns="http://schemas.openxmlformats.org/spreadsheetml/2006/main" count="624" uniqueCount="329">
  <si>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</si>
  <si>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</si>
  <si>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</si>
  <si>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</si>
  <si>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</si>
  <si>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</si>
  <si>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</si>
  <si>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</si>
  <si>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</si>
  <si>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</si>
  <si>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</si>
  <si>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</si>
  <si>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</si>
  <si>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</si>
  <si>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</si>
  <si>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</si>
  <si>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</si>
  <si>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</si>
  <si>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</si>
  <si>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</si>
  <si>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</si>
  <si>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</si>
  <si>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</si>
  <si>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</si>
  <si>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</si>
  <si>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</si>
  <si>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</si>
  <si>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</si>
  <si>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</si>
  <si>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</si>
  <si>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</si>
  <si>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</si>
  <si>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</si>
  <si>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</si>
  <si>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</si>
  <si>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</si>
  <si>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</si>
  <si>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</si>
  <si>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</si>
  <si>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</si>
  <si>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</si>
  <si>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</si>
  <si>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</si>
  <si>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</si>
  <si>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</si>
  <si>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</si>
  <si>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</si>
  <si>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</si>
  <si>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</si>
  <si>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</si>
  <si>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</si>
  <si>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</si>
  <si>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</si>
  <si>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</si>
  <si>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</si>
  <si>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</si>
  <si>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</si>
  <si>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</si>
  <si>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</si>
  <si>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</si>
  <si>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</si>
  <si>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</si>
  <si>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</si>
  <si>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</si>
  <si>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</si>
  <si>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</si>
  <si>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</si>
  <si>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</si>
  <si>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</si>
  <si>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</si>
  <si>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</si>
  <si>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</si>
  <si>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</si>
  <si>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</si>
  <si>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</si>
  <si>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</si>
  <si>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</si>
  <si>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</si>
  <si>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</si>
  <si>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</si>
  <si>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</si>
  <si>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</si>
  <si>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</si>
  <si>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</si>
  <si>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</si>
  <si>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</si>
  <si>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</si>
  <si>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</si>
  <si>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</si>
  <si>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</si>
  <si>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</si>
  <si>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</si>
  <si>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</si>
  <si>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</si>
  <si>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</si>
  <si>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</si>
  <si>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</si>
  <si>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</si>
  <si>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</si>
  <si>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</si>
  <si>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</si>
  <si>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</si>
  <si>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</si>
  <si>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</si>
  <si>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</si>
  <si>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</si>
  <si>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</si>
  <si>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</si>
  <si>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</si>
  <si>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</si>
  <si>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</si>
  <si>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</si>
  <si>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</si>
  <si>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</si>
  <si>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</si>
  <si>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</si>
  <si>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</si>
  <si>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</si>
  <si>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</si>
  <si>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</si>
  <si>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</si>
  <si>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</si>
  <si>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</si>
  <si>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</si>
  <si>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</si>
  <si>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</si>
  <si>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</si>
  <si>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</si>
  <si>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</si>
  <si>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</si>
  <si>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</si>
  <si>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</si>
  <si>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</si>
  <si>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</si>
  <si>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</si>
  <si>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</si>
  <si>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</si>
  <si>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</si>
  <si>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</si>
  <si>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</si>
  <si>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</si>
  <si>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</si>
  <si>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</si>
  <si>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</si>
  <si>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</si>
  <si>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</si>
  <si>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</si>
  <si>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</si>
  <si>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</si>
  <si>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</si>
  <si>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</si>
  <si>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</si>
  <si>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</si>
  <si>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</si>
  <si>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</si>
  <si>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</si>
  <si>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</si>
  <si>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</si>
  <si>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</si>
  <si>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</si>
  <si>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</si>
  <si>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</si>
  <si>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</si>
  <si>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</si>
  <si>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</si>
  <si>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</si>
  <si>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</si>
  <si>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</si>
  <si>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</si>
  <si>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</si>
  <si>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</si>
  <si>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</si>
  <si>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</si>
  <si>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</si>
  <si>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</si>
  <si>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</si>
  <si>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</si>
  <si>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</si>
  <si>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</si>
  <si>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</si>
  <si>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</si>
  <si>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</si>
  <si>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</si>
  <si>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</si>
  <si>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</si>
  <si>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</si>
  <si>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</si>
  <si>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</si>
  <si>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</si>
  <si>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options</t>
  </si>
  <si>
    <t>True piezometric line: u = γw × vertical distance below the line (static head).</t>
  </si>
  <si>
    <t>phreatic</t>
  </si>
  <si>
    <t>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</si>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</sst>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Shell</t>
        </is>
      </c>
      <c r="C11" s="3">
        <v>125.0</v>
      </c>
      <c r="D11" s="3">
        <v>130.0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/>
      <c r="K11" s="3"/>
      <c r="L11" s="3">
        <v>0.0</v>
      </c>
      <c r="M11" s="3">
        <v>700000.0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Core</t>
        </is>
      </c>
      <c r="C12" s="3">
        <v>122.0</v>
      </c>
      <c r="D12" s="3">
        <v>127.0</v>
      </c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/>
      <c r="K12" s="3"/>
      <c r="L12" s="3">
        <v>0.0</v>
      </c>
      <c r="M12" s="3">
        <v>700000.0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Clay</t>
        </is>
      </c>
      <c r="C13" s="3">
        <v>123.0</v>
      </c>
      <c r="D13" s="3">
        <v>128.0</v>
      </c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/>
      <c r="K13" s="3"/>
      <c r="L13" s="3">
        <v>0.0</v>
      </c>
      <c r="M13" s="3">
        <v>700000.0</v>
      </c>
      <c r="N13" s="3">
        <v>0.3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 t="inlineStr">
        <is>
          <t>Sand</t>
        </is>
      </c>
      <c r="C14" s="3">
        <v>127.0</v>
      </c>
      <c r="D14" s="3">
        <v>132.0</v>
      </c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/>
      <c r="K14" s="3"/>
      <c r="L14" s="3">
        <v>0.0</v>
      </c>
      <c r="M14" s="3">
        <v>700000.0</v>
      </c>
      <c r="N14" s="3">
        <v>0.3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>
        <v>0.5</v>
      </c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182.0</v>
      </c>
      <c r="D2" s="24" t="s">
        <v>146</v>
      </c>
      <c r="N2" s="24" t="s">
        <v>147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B5" activeCellId="1" sqref="AR5 B5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s">
        <v>169</v>
      </c>
      <c r="B4" s="52"/>
      <c r="D4" s="55" t="s">
        <v>170</v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s">
        <v>185</v>
      </c>
      <c r="D5" s="38" t="s">
        <v>184</v>
      </c>
      <c r="E5" s="39" t="s">
        <v>185</v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>
        <v>-150.0</v>
      </c>
      <c r="B5" s="3">
        <v>302.0</v>
      </c>
      <c r="D5" s="3"/>
      <c r="E5" s="3"/>
      <c r="G5" s="1" t="s">
        <v>18</v>
      </c>
      <c r="H5" t="s">
        <v>190</v>
      </c>
    </row>
    <row r="6" spans="1:8" x14ac:dyDescent="0.2">
      <c r="A6" s="3">
        <v>277.5</v>
      </c>
      <c r="B6" s="3">
        <v>302.0</v>
      </c>
      <c r="D6" s="3"/>
      <c r="E6" s="3"/>
      <c r="G6" s="1" t="s">
        <v>191</v>
      </c>
      <c r="H6" t="s">
        <v>192</v>
      </c>
    </row>
    <row r="7" spans="1:8" x14ac:dyDescent="0.2">
      <c r="A7" s="3">
        <v>315.0</v>
      </c>
      <c r="B7" s="3">
        <v>275.0</v>
      </c>
      <c r="D7" s="3"/>
      <c r="E7" s="3"/>
    </row>
    <row r="8" spans="1:8" x14ac:dyDescent="0.2">
      <c r="A8" s="3">
        <v>343.5</v>
      </c>
      <c r="B8" s="3">
        <v>240.0</v>
      </c>
      <c r="D8" s="3"/>
      <c r="E8" s="3"/>
    </row>
    <row r="9" spans="1:8" x14ac:dyDescent="0.2">
      <c r="A9" s="3">
        <v>590.0</v>
      </c>
      <c r="B9" s="3">
        <v>227.0</v>
      </c>
      <c r="D9" s="3"/>
      <c r="E9" s="3"/>
    </row>
    <row r="10" spans="1:8" x14ac:dyDescent="0.2">
      <c r="A10" s="3">
        <v>740.0</v>
      </c>
      <c r="B10" s="3">
        <v>227.0</v>
      </c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490.0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>
        <v>490.0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Q17" sqref="Q17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8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  <row r="5" spans="1:18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