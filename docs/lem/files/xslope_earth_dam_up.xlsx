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5FD0379B-08A5-F943-9619-5F759E508317}" xr6:coauthVersionLast="47" xr6:coauthVersionMax="47" xr10:uidLastSave="{00000000-0000-0000-0000-000000000000}"/>
  <bookViews>
    <workbookView xWindow="25380" yWindow="260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<sst xmlns="http://schemas.openxmlformats.org/spreadsheetml/2006/main" count="289" uniqueCount="157">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</sst>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  <c:pt idx="0">
                  <c:v>-150</c:v>
                </c:pt>
                <c:pt idx="1">
                  <c:v>277.5</c:v>
                </c:pt>
                <c:pt idx="2">
                  <c:v>315</c:v>
                </c:pt>
                <c:pt idx="3">
                  <c:v>343.5</c:v>
                </c:pt>
                <c:pt idx="4">
                  <c:v>590</c:v>
                </c:pt>
                <c:pt idx="5">
                  <c:v>740</c:v>
                </c:pt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  <c:pt idx="0">
                  <c:v>302</c:v>
                </c:pt>
                <c:pt idx="1">
                  <c:v>302</c:v>
                </c:pt>
                <c:pt idx="2">
                  <c:v>275</c:v>
                </c:pt>
                <c:pt idx="3">
                  <c:v>240</c:v>
                </c:pt>
                <c:pt idx="4">
                  <c:v>227</c:v>
                </c:pt>
                <c:pt idx="5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7" sqref="C2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zoomScale="140" zoomScaleNormal="140" workbookViewId="0">
      <selection activeCell="U25" sqref="U2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21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54">
        <v>700000</v>
      </c>
      <c r="X9" s="17">
        <v>0.3</v>
      </c>
    </row>
    <row r="10" spans="1:24" x14ac:dyDescent="0.2">
      <c r="A10" s="3">
        <v>2</v>
      </c>
      <c r="B10" s="3" t="s">
        <v>154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>
        <v>300</v>
      </c>
      <c r="J10" s="3">
        <v>20</v>
      </c>
      <c r="K10" s="3" t="s">
        <v>21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54">
        <v>700000</v>
      </c>
      <c r="X10" s="17">
        <v>0.3</v>
      </c>
    </row>
    <row r="11" spans="1:24" x14ac:dyDescent="0.2">
      <c r="A11" s="3">
        <v>3</v>
      </c>
      <c r="B11" s="3" t="s">
        <v>155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>
        <v>100</v>
      </c>
      <c r="J11" s="3">
        <v>19</v>
      </c>
      <c r="K11" s="3" t="s">
        <v>21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54">
        <v>700000</v>
      </c>
      <c r="X11" s="17">
        <v>0.3</v>
      </c>
    </row>
    <row r="12" spans="1:24" x14ac:dyDescent="0.2">
      <c r="A12" s="3">
        <v>4</v>
      </c>
      <c r="B12" s="3" t="s">
        <v>156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21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54">
        <v>700000</v>
      </c>
      <c r="X12" s="17">
        <v>0.3</v>
      </c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2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1">
      <formula>$D9="cp"</formula>
    </cfRule>
  </conditionalFormatting>
  <conditionalFormatting sqref="M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4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13:K50" xr:uid="{D770415C-1ECE-F44B-9D8C-08EF1CF31C8E}">
      <formula1>$J$3:$J$5</formula1>
    </dataValidation>
    <dataValidation type="list" allowBlank="1" showInputMessage="1" showErrorMessage="1" sqref="K9:K12" xr:uid="{F449EC88-55D7-AF46-91D9-502B4AAE8A8B}">
      <formula1>$C$26:$C$28</formula1>
    </dataValidation>
    <dataValidation type="list" allowBlank="1" showInputMessage="1" showErrorMessage="1" sqref="D9:D12" xr:uid="{F6CF285D-AF8C-554B-AF85-6DFB49CE3E59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120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Shell</v>
      </c>
      <c r="B6" s="47"/>
      <c r="D6" s="46" t="str">
        <f>_xlfn.XLOOKUP(E5,mat!$A:$A, mat!$B:$B,"") &amp; ""</f>
        <v>Core</v>
      </c>
      <c r="E6" s="47"/>
      <c r="G6" s="46" t="str">
        <f>_xlfn.XLOOKUP(H5,mat!$A:$A, mat!$B:$B,"") &amp; ""</f>
        <v>Clay</v>
      </c>
      <c r="H6" s="47"/>
      <c r="J6" s="46" t="str">
        <f>_xlfn.XLOOKUP(K5,mat!$A:$A, mat!$B:$B,"") &amp; ""</f>
        <v>Sand</v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K10" sqref="K10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-150</v>
      </c>
      <c r="B4" s="3">
        <v>302</v>
      </c>
      <c r="D4" s="3"/>
      <c r="E4" s="3"/>
    </row>
    <row r="5" spans="1:7" x14ac:dyDescent="0.2">
      <c r="A5" s="3">
        <v>277.5</v>
      </c>
      <c r="B5" s="3">
        <v>302</v>
      </c>
      <c r="D5" s="3"/>
      <c r="E5" s="3"/>
    </row>
    <row r="6" spans="1:7" x14ac:dyDescent="0.2">
      <c r="A6" s="3">
        <v>315</v>
      </c>
      <c r="B6" s="3">
        <v>275</v>
      </c>
      <c r="D6" s="3"/>
      <c r="E6" s="3"/>
    </row>
    <row r="7" spans="1:7" x14ac:dyDescent="0.2">
      <c r="A7" s="3">
        <v>343.5</v>
      </c>
      <c r="B7" s="3">
        <v>240</v>
      </c>
      <c r="D7" s="3"/>
      <c r="E7" s="3"/>
    </row>
    <row r="8" spans="1:7" x14ac:dyDescent="0.2">
      <c r="A8" s="3">
        <v>590</v>
      </c>
      <c r="B8" s="3">
        <v>227</v>
      </c>
      <c r="D8" s="3"/>
      <c r="E8" s="3"/>
    </row>
    <row r="9" spans="1:7" x14ac:dyDescent="0.2">
      <c r="A9" s="3">
        <v>740</v>
      </c>
      <c r="B9" s="3">
        <v>227</v>
      </c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E16" sqref="E1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100</v>
      </c>
      <c r="C3" s="17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100</v>
      </c>
      <c r="C4" s="19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18"/>
      <c r="C5" s="19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24DC59F-CA93-B24F-B2B4-96F00282932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D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I28" sqref="I28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302</v>
      </c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2026-02-11T19:40:53Z</dcterms:modified>
</cp:coreProperties>
</file>