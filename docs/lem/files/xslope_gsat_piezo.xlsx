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D53F4FFA-A72E-9849-8C3B-3C3A51EB7D83}" xr6:coauthVersionLast="47" xr6:coauthVersionMax="47" xr10:uidLastSave="{00000000-0000-0000-0000-000000000000}"/>
  <bookViews>
    <workbookView xWindow="11520" yWindow="2900" windowWidth="42700" windowHeight="2280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<sst xmlns="http://schemas.openxmlformats.org/spreadsheetml/2006/main" count="412" uniqueCount="212">
  <si>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</si>
  <si>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</si>
  <si>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</si>
  <si>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</si>
  <si>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</si>
  <si>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</si>
  <si>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</si>
  <si>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</si>
  <si>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</si>
  <si>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</si>
  <si>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</si>
  <si>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</si>
  <si>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</si>
  <si>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</si>
  <si>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</si>
  <si>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</si>
  <si>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</si>
  <si>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</si>
  <si>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</si>
  <si>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</si>
  <si>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</si>
  <si>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</si>
  <si>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</si>
  <si>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</si>
  <si>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</si>
  <si>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</si>
  <si>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</si>
  <si>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</si>
  <si>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</si>
  <si>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</si>
  <si>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</si>
  <si>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</si>
  <si>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</si>
  <si>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</si>
  <si>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</si>
  <si>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</si>
  <si>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</si>
  <si>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</si>
  <si>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</si>
  <si>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</si>
  <si>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</si>
  <si>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</si>
  <si>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</si>
  <si>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</si>
  <si>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</si>
  <si>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</si>
  <si>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</si>
  <si>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</si>
  <si>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</si>
  <si>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</si>
  <si>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</si>
  <si>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</si>
  <si>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</si>
  <si>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</si>
  <si>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</si>
  <si>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</si>
  <si>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</si>
  <si>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</si>
  <si>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</si>
  <si>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</si>
  <si>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</si>
  <si>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</si>
  <si>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</si>
  <si>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</si>
  <si>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</si>
  <si>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</si>
  <si>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</si>
  <si>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</si>
  <si>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</si>
  <si>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</si>
  <si>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</si>
  <si>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</si>
  <si>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</si>
  <si>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</si>
  <si>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</si>
  <si>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</si>
  <si>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</si>
  <si>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</si>
  <si>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</si>
  <si>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</si>
  <si>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</si>
  <si>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</si>
  <si>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</si>
  <si>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</si>
  <si>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</si>
  <si>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</si>
  <si>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</si>
  <si>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</si>
  <si>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</si>
  <si>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</si>
  <si>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</si>
  <si>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</si>
  <si>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</si>
  <si>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</si>
  <si>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</si>
  <si>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</si>
  <si>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</si>
  <si>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</si>
  <si>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</si>
  <si>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</si>
  <si>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</si>
  <si>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</si>
  <si>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</si>
  <si>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</si>
  <si>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</si>
  <si>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</si>
  <si>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</si>
  <si>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</si>
  <si>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</si>
  <si>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</si>
  <si>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</si>
  <si>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</si>
  <si>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</si>
  <si>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</si>
  <si>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</si>
  <si>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</si>
  <si>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</si>
  <si>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</si>
  <si>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</si>
  <si>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</si>
  <si>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</si>
  <si>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</si>
  <si>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</si>
  <si>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</si>
  <si>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</si>
  <si>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</si>
  <si>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</si>
  <si>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</si>
  <si>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</si>
  <si>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</si>
  <si>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</si>
  <si>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</si>
  <si>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</si>
  <si>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</si>
  <si>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</si>
  <si>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</si>
  <si>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</si>
  <si>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</si>
  <si>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</si>
  <si>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</si>
  <si>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</si>
  <si>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</si>
  <si>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</si>
  <si>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</si>
  <si>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</si>
  <si>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</si>
  <si>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</si>
  <si>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</si>
  <si>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</si>
  <si>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</si>
  <si>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</si>
  <si>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</si>
  <si>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</si>
  <si>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</si>
  <si>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</si>
  <si>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</si>
  <si>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</si>
  <si>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</si>
  <si>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</si>
  <si>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</si>
  <si>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</si>
  <si>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</si>
  <si>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</si>
  <si>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</si>
  <si>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</si>
  <si>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</si>
  <si>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</si>
  <si>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</si>
  <si>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</si>
  <si>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</si>
  <si>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</si>
  <si>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</si>
  <si>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</si>
  <si>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</si>
  <si>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</si>
  <si>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</si>
  <si>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</si>
  <si>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</si>
  <si>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</si>
  <si>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</si>
  <si>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</si>
  <si>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</si>
  <si>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van Genuchten model (vb_a, vg_n)</t>
  </si>
  <si>
    <t>Unsat model option</t>
  </si>
  <si>
    <t>vg_a</t>
  </si>
  <si>
    <t>vg_n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</si>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</sst>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piezo!$A$4:$A$18</c:f>
              <c:numCache>
                <c:formatCode>General</c:formatCode>
                <c:ptCount val="15"/>
              </c:numCache>
            </c:numRef>
          </c:xVal>
          <c:yVal>
            <c:numRef>
              <c:f>piezo!$B$4:$B$18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piezo!$D$4:$D$18</c:f>
              <c:numCache>
                <c:formatCode>General</c:formatCode>
                <c:ptCount val="15"/>
              </c:numCache>
            </c:numRef>
          </c:xVal>
          <c:yVal>
            <c:numRef>
              <c:f>piezo!$E$4:$E$18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24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98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12</v>
      </c>
    </row>
    <row r="7" spans="1:7" x14ac:dyDescent="0.2">
      <c r="B7" s="49" t="s">
        <v>47</v>
      </c>
      <c r="C7" s="49"/>
      <c r="D7" s="49"/>
      <c r="F7" s="15" t="s">
        <v>15</v>
      </c>
      <c r="G7" s="36" t="s">
        <v>16</v>
      </c>
    </row>
    <row r="8" spans="1:7" x14ac:dyDescent="0.2">
      <c r="C8" s="14" t="s">
        <v>50</v>
      </c>
      <c r="D8" s="1">
        <v>62.4</v>
      </c>
      <c r="F8" s="1" t="s">
        <v>116</v>
      </c>
      <c r="G8" t="s">
        <v>117</v>
      </c>
    </row>
    <row r="9" spans="1:7" x14ac:dyDescent="0.2">
      <c r="C9" s="14" t="s">
        <v>49</v>
      </c>
      <c r="D9" s="1">
        <v>0.0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0.0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0.0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118</v>
      </c>
      <c r="G15" t="s">
        <v>120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95</v>
      </c>
      <c r="G17" s="9" t="s">
        <v>122</v>
      </c>
    </row>
    <row r="18" spans="2:7" x14ac:dyDescent="0.2">
      <c r="F18" s="1" t="s">
        <v>119</v>
      </c>
      <c r="G18" s="9" t="s">
        <v>121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G51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31" width="8.5" customWidth="1"/>
    <col min="32" max="32" width="8.5" style="1" customWidth="1"/>
    <col min="33" max="33" width="8.5" customWidth="1"/>
  </cols>
  <sheetData>
    <row r="2" spans="1:33" x14ac:dyDescent="0.2">
      <c r="C2" s="6" t="s">
        <v>68</v>
      </c>
      <c r="E2"/>
      <c r="F2"/>
      <c r="G2"/>
      <c r="K2" s="6" t="s">
        <v>186</v>
      </c>
      <c r="U2" s="6"/>
      <c r="AA2" s="6" t="s">
        <v>183</v>
      </c>
    </row>
    <row r="3" spans="1:33" x14ac:dyDescent="0.2">
      <c r="C3" s="1" t="s">
        <v>67</v>
      </c>
      <c r="D3" t="s">
        <v>69</v>
      </c>
      <c r="F3"/>
      <c r="G3"/>
      <c r="K3" s="1" t="s">
        <v>87</v>
      </c>
      <c r="L3" t="s">
        <v>59</v>
      </c>
      <c r="U3" s="14"/>
      <c r="AA3" s="1" t="s">
        <v>179</v>
      </c>
      <c r="AB3" t="s">
        <v>181</v>
      </c>
    </row>
    <row r="4" spans="1:33" x14ac:dyDescent="0.2">
      <c r="C4" s="1" t="s">
        <v>70</v>
      </c>
      <c r="D4" t="s">
        <v>71</v>
      </c>
      <c r="F4"/>
      <c r="G4"/>
      <c r="K4" s="1" t="s">
        <v>21</v>
      </c>
      <c r="L4" t="s">
        <v>60</v>
      </c>
      <c r="U4" s="14"/>
      <c r="AA4" s="1" t="s">
        <v>180</v>
      </c>
      <c r="AB4" t="s">
        <v>182</v>
      </c>
    </row>
    <row r="5" spans="1:33" x14ac:dyDescent="0.2">
      <c r="C5" s="1" t="s">
        <v>187</v>
      </c>
      <c r="D5" t="s">
        <v>207</v>
      </c>
      <c r="K5" s="1" t="s">
        <v>88</v>
      </c>
      <c r="L5" s="9" t="s">
        <v>86</v>
      </c>
      <c r="U5" s="14"/>
      <c r="AA5" s="1"/>
      <c r="AB5" s="9"/>
    </row>
    <row r="6" spans="1:33" x14ac:dyDescent="0.2">
      <c r="K6" s="1" t="s">
        <v>188</v>
      </c>
      <c r="L6" t="s">
        <v>206</v>
      </c>
      <c r="P6" s="1"/>
      <c r="V6" s="1"/>
      <c r="W6" s="1"/>
    </row>
    <row r="8" spans="1:33" x14ac:dyDescent="0.2">
      <c r="C8" s="50" t="s">
        <v>57</v>
      </c>
      <c r="D8" s="51"/>
      <c r="E8" s="50"/>
      <c r="F8" s="50"/>
      <c r="G8" s="50"/>
      <c r="H8" s="50"/>
      <c r="I8" s="50"/>
      <c r="J8" s="50"/>
      <c r="K8" s="50"/>
      <c r="L8" s="52"/>
      <c r="M8" s="52"/>
      <c r="N8" s="52"/>
      <c r="O8" s="52"/>
      <c r="P8" s="1"/>
      <c r="R8" s="50" t="s">
        <v>58</v>
      </c>
      <c r="S8" s="50"/>
      <c r="T8" s="50"/>
      <c r="U8" s="50"/>
      <c r="V8" s="50"/>
      <c r="W8" s="50"/>
      <c r="X8" s="50" t="s">
        <v>92</v>
      </c>
      <c r="Y8" s="50"/>
      <c r="Z8" s="50"/>
      <c r="AA8" s="50"/>
      <c r="AB8" s="50"/>
      <c r="AC8" s="50"/>
      <c r="AD8" s="50"/>
      <c r="AE8" s="50"/>
      <c r="AF8" s="50" t="s">
        <v>99</v>
      </c>
      <c r="AG8" s="50"/>
    </row>
    <row r="9" spans="1:33" ht="18" x14ac:dyDescent="0.25">
      <c r="A9" s="20" t="s">
        <v>19</v>
      </c>
      <c r="B9" s="20" t="s">
        <v>78</v>
      </c>
      <c r="C9" s="26" t="s">
        <v>52</v>
      </c>
      <c r="D9" s="48" t="s">
        <v>205</v>
      </c>
      <c r="E9" s="21" t="s">
        <v>66</v>
      </c>
      <c r="F9" s="21" t="s">
        <v>53</v>
      </c>
      <c r="G9" s="26" t="s">
        <v>51</v>
      </c>
      <c r="H9" s="21" t="s">
        <v>73</v>
      </c>
      <c r="I9" s="21" t="s">
        <v>72</v>
      </c>
      <c r="J9" s="21" t="s">
        <v>80</v>
      </c>
      <c r="K9" s="21" t="s">
        <v>148</v>
      </c>
      <c r="L9" s="21" t="s">
        <v>189</v>
      </c>
      <c r="M9" s="21" t="s">
        <v>190</v>
      </c>
      <c r="N9" s="21" t="s">
        <v>191</v>
      </c>
      <c r="O9" s="21" t="s">
        <v>192</v>
      </c>
      <c r="P9" s="21" t="s">
        <v>85</v>
      </c>
      <c r="Q9" s="21" t="s">
        <v>188</v>
      </c>
      <c r="R9" s="22" t="s">
        <v>54</v>
      </c>
      <c r="S9" s="22" t="s">
        <v>55</v>
      </c>
      <c r="T9" s="23" t="s">
        <v>56</v>
      </c>
      <c r="U9" s="22" t="s">
        <v>74</v>
      </c>
      <c r="V9" s="22" t="s">
        <v>81</v>
      </c>
      <c r="W9" s="23" t="s">
        <v>149</v>
      </c>
      <c r="X9" s="25" t="s">
        <v>89</v>
      </c>
      <c r="Y9" s="25" t="s">
        <v>90</v>
      </c>
      <c r="Z9" s="25" t="s">
        <v>91</v>
      </c>
      <c r="AA9" s="25" t="s">
        <v>178</v>
      </c>
      <c r="AB9" s="25" t="s">
        <v>96</v>
      </c>
      <c r="AC9" s="25" t="s">
        <v>97</v>
      </c>
      <c r="AD9" s="25" t="s">
        <v>184</v>
      </c>
      <c r="AE9" s="25" t="s">
        <v>185</v>
      </c>
      <c r="AF9" s="29" t="s">
        <v>100</v>
      </c>
      <c r="AG9" s="30" t="s">
        <v>101</v>
      </c>
    </row>
    <row r="10" spans="1:33" x14ac:dyDescent="0.2">
      <c r="A10" s="3">
        <v>1</v>
      </c>
      <c r="B10" s="3" t="inlineStr">
        <is>
          <t>Clay</t>
        </is>
      </c>
      <c r="C10" s="3">
        <v>120.0</v>
      </c>
      <c r="D10" s="3">
        <v>127.0</v>
      </c>
      <c r="E10" s="3" t="inlineStr">
        <is>
          <t>mc</t>
        </is>
      </c>
      <c r="F10" s="3">
        <v>200.0</v>
      </c>
      <c r="G10" s="3">
        <v>25.0</v>
      </c>
      <c r="H10" s="3">
        <v>0.0</v>
      </c>
      <c r="I10" s="3">
        <v>0.0</v>
      </c>
      <c r="J10" s="3">
        <v>0.0</v>
      </c>
      <c r="K10" s="3">
        <v>0.0</v>
      </c>
      <c r="L10" s="3"/>
      <c r="M10" s="3"/>
      <c r="N10" s="3"/>
      <c r="O10" s="3"/>
      <c r="P10" s="3" t="inlineStr">
        <is>
          <t>piezo</t>
        </is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 t="inlineStr">
        <is>
          <t>lf</t>
        </is>
      </c>
      <c r="AB10" s="3">
        <v>0.0</v>
      </c>
      <c r="AC10" s="3">
        <v>0.0</v>
      </c>
      <c r="AD10" s="3">
        <v>0.0</v>
      </c>
      <c r="AE10" s="3">
        <v>0.0</v>
      </c>
      <c r="AF10" s="3">
        <v>0.0</v>
      </c>
      <c r="AG10" s="3">
        <v>0.0</v>
      </c>
    </row>
    <row r="11" spans="1:33" x14ac:dyDescent="0.2">
      <c r="A11" s="3">
        <v>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18"/>
      <c r="AE11" s="19"/>
      <c r="AF11" s="3"/>
      <c r="AG11" s="3"/>
    </row>
    <row r="12" spans="1:33" x14ac:dyDescent="0.2">
      <c r="A12" s="3">
        <v>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18"/>
      <c r="AE12" s="19"/>
      <c r="AF12" s="3"/>
      <c r="AG12" s="3"/>
    </row>
    <row r="13" spans="1:33" x14ac:dyDescent="0.2">
      <c r="A13" s="3">
        <v>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x14ac:dyDescent="0.2">
      <c r="A14" s="3">
        <v>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2">
      <c r="A15" s="3">
        <v>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x14ac:dyDescent="0.2">
      <c r="A16" s="3">
        <v>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2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2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2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2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2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2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2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2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3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3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3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3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3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3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1:23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1:23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1:23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1:23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1:23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1:23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1:23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1:23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1:23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1:23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1:23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1:23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1:23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1:23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1:23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1:23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1:23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1:23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1:23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</sheetData>
  <mergeCells count="4">
    <mergeCell ref="C8:O8"/>
    <mergeCell ref="R8:W8"/>
    <mergeCell ref="AF8:AG8"/>
    <mergeCell ref="X8:AE8"/>
  </mergeCells>
  <conditionalFormatting sqref="F10:I51">
    <cfRule type="expression" dxfId="14" priority="16">
      <formula>$E10="pow"</formula>
    </cfRule>
  </conditionalFormatting>
  <conditionalFormatting sqref="G10:G51">
    <cfRule type="expression" dxfId="13" priority="5">
      <formula>$E10="cp"</formula>
    </cfRule>
  </conditionalFormatting>
  <conditionalFormatting sqref="H10:I51">
    <cfRule type="expression" dxfId="12" priority="4">
      <formula>$E10="mc"</formula>
    </cfRule>
  </conditionalFormatting>
  <conditionalFormatting sqref="J10:K51">
    <cfRule type="expression" dxfId="11" priority="6">
      <formula>$E10="cp"</formula>
    </cfRule>
  </conditionalFormatting>
  <conditionalFormatting sqref="L10:O51">
    <cfRule type="expression" dxfId="10" priority="19">
      <formula>AND($E10&lt;&gt;"",$E10&lt;&gt;"pow")</formula>
    </cfRule>
  </conditionalFormatting>
  <conditionalFormatting sqref="Q10:Q51">
    <cfRule type="expression" dxfId="9" priority="20">
      <formula>AND($P10&lt;&gt;"",$P10&lt;&gt;"ru")</formula>
    </cfRule>
  </conditionalFormatting>
  <conditionalFormatting sqref="S10:U51">
    <cfRule type="expression" dxfId="8" priority="21">
      <formula>$E10="pow"</formula>
    </cfRule>
  </conditionalFormatting>
  <conditionalFormatting sqref="T10:T51">
    <cfRule type="expression" dxfId="7" priority="8">
      <formula>$E10="cp"</formula>
    </cfRule>
  </conditionalFormatting>
  <conditionalFormatting sqref="U10:U51">
    <cfRule type="expression" dxfId="6" priority="15">
      <formula>$E10="mc"</formula>
    </cfRule>
  </conditionalFormatting>
  <conditionalFormatting sqref="V10:W51">
    <cfRule type="expression" dxfId="5" priority="10">
      <formula>$E10="cp"</formula>
    </cfRule>
  </conditionalFormatting>
  <conditionalFormatting sqref="AB10:AC101">
    <cfRule type="expression" dxfId="4" priority="2">
      <formula>$AA10="vg"</formula>
    </cfRule>
  </conditionalFormatting>
  <conditionalFormatting sqref="AD10:AE101">
    <cfRule type="expression" dxfId="3" priority="1">
      <formula>$AA10="lf"</formula>
    </cfRule>
  </conditionalFormatting>
  <dataValidations count="3">
    <dataValidation type="list" allowBlank="1" showInputMessage="1" showErrorMessage="1" sqref="E10:E51" xr:uid="{374AFD2C-B540-DD4B-A245-8B781F76E64C}">
      <formula1>$C$3:$C$5</formula1>
    </dataValidation>
    <dataValidation type="list" allowBlank="1" showInputMessage="1" showErrorMessage="1" sqref="P10:P51" xr:uid="{D770415C-1ECE-F44B-9D8C-08EF1CF31C8E}">
      <formula1>$K$3:$K$6</formula1>
    </dataValidation>
    <dataValidation type="list" allowBlank="1" showInputMessage="1" showErrorMessage="1" sqref="AA10:AA101" xr:uid="{E00A94A9-D864-5843-8FBD-E84775B1C100}">
      <formula1>$AA$3:$AA$4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0.0</v>
      </c>
      <c r="D2" s="27" t="s">
        <v>93</v>
      </c>
    </row>
    <row r="4" spans="1:44" x14ac:dyDescent="0.2">
      <c r="A4" s="53" t="inlineStr">
        <is>
          <t>Profile Line #1</t>
        </is>
      </c>
      <c r="B4" s="53"/>
      <c r="D4" s="53" t="s">
        <v>5</v>
      </c>
      <c r="E4" s="53"/>
      <c r="G4" s="53" t="s">
        <v>6</v>
      </c>
      <c r="H4" s="53"/>
      <c r="J4" s="53" t="s">
        <v>7</v>
      </c>
      <c r="K4" s="53"/>
      <c r="M4" s="53" t="s">
        <v>8</v>
      </c>
      <c r="N4" s="53"/>
      <c r="P4" s="53" t="s">
        <v>9</v>
      </c>
      <c r="Q4" s="53"/>
      <c r="R4" s="1"/>
      <c r="S4" s="53" t="s">
        <v>10</v>
      </c>
      <c r="T4" s="53"/>
      <c r="U4" s="1"/>
      <c r="V4" s="53" t="s">
        <v>11</v>
      </c>
      <c r="W4" s="53"/>
      <c r="X4" s="1"/>
      <c r="Y4" s="53" t="s">
        <v>12</v>
      </c>
      <c r="Z4" s="53"/>
      <c r="AA4" s="1"/>
      <c r="AB4" s="53" t="s">
        <v>13</v>
      </c>
      <c r="AC4" s="53"/>
      <c r="AE4" s="53" t="s">
        <v>111</v>
      </c>
      <c r="AF4" s="53"/>
      <c r="AG4" s="1"/>
      <c r="AH4" s="53" t="s">
        <v>112</v>
      </c>
      <c r="AI4" s="53"/>
      <c r="AJ4" s="1"/>
      <c r="AK4" s="53" t="s">
        <v>113</v>
      </c>
      <c r="AL4" s="53"/>
      <c r="AM4" s="1"/>
      <c r="AN4" s="53" t="s">
        <v>114</v>
      </c>
      <c r="AO4" s="53"/>
      <c r="AP4" s="1"/>
      <c r="AQ4" s="53" t="s">
        <v>115</v>
      </c>
      <c r="AR4" s="53"/>
    </row>
    <row r="5" spans="1:44" x14ac:dyDescent="0.2">
      <c r="A5" s="41" t="s">
        <v>123</v>
      </c>
      <c r="B5" s="42">
        <v>1</v>
      </c>
      <c r="D5" s="41" t="s">
        <v>123</v>
      </c>
      <c r="E5" s="42">
        <v>2</v>
      </c>
      <c r="G5" s="41" t="s">
        <v>123</v>
      </c>
      <c r="H5" s="42">
        <v>3</v>
      </c>
      <c r="J5" s="41" t="s">
        <v>123</v>
      </c>
      <c r="K5" s="42">
        <v>4</v>
      </c>
      <c r="M5" s="41" t="s">
        <v>123</v>
      </c>
      <c r="N5" s="42">
        <v>5</v>
      </c>
      <c r="P5" s="41" t="s">
        <v>123</v>
      </c>
      <c r="Q5" s="42">
        <v>6</v>
      </c>
      <c r="R5" s="1"/>
      <c r="S5" s="41" t="s">
        <v>123</v>
      </c>
      <c r="T5" s="42">
        <v>7</v>
      </c>
      <c r="U5" s="1"/>
      <c r="V5" s="41" t="s">
        <v>123</v>
      </c>
      <c r="W5" s="42">
        <v>8</v>
      </c>
      <c r="X5" s="1"/>
      <c r="Y5" s="41" t="s">
        <v>123</v>
      </c>
      <c r="Z5" s="42">
        <v>9</v>
      </c>
      <c r="AA5" s="1"/>
      <c r="AB5" s="41" t="s">
        <v>123</v>
      </c>
      <c r="AC5" s="42">
        <v>10</v>
      </c>
      <c r="AE5" s="41" t="s">
        <v>123</v>
      </c>
      <c r="AF5" s="42">
        <v>11</v>
      </c>
      <c r="AG5" s="1"/>
      <c r="AH5" s="41" t="s">
        <v>123</v>
      </c>
      <c r="AI5" s="42">
        <v>12</v>
      </c>
      <c r="AJ5" s="1"/>
      <c r="AK5" s="41" t="s">
        <v>123</v>
      </c>
      <c r="AL5" s="42">
        <v>13</v>
      </c>
      <c r="AM5" s="1"/>
      <c r="AN5" s="41" t="s">
        <v>123</v>
      </c>
      <c r="AO5" s="42">
        <v>14</v>
      </c>
      <c r="AP5" s="1"/>
      <c r="AQ5" s="41" t="s">
        <v>123</v>
      </c>
      <c r="AR5" s="42">
        <v>15</v>
      </c>
    </row>
    <row r="6" spans="1:44" x14ac:dyDescent="0.2">
      <c r="A6" s="54" t="str">
        <f>_xlfn.XLOOKUP(B5,mat!$A:$A, mat!$B:$B,"") &amp; ""</f>
        <v/>
      </c>
      <c r="B6" s="55"/>
      <c r="D6" s="54" t="str">
        <f>_xlfn.XLOOKUP(E5,mat!$A:$A, mat!$B:$B,"") &amp; ""</f>
        <v/>
      </c>
      <c r="E6" s="55"/>
      <c r="G6" s="54" t="str">
        <f>_xlfn.XLOOKUP(H5,mat!$A:$A, mat!$B:$B,"") &amp; ""</f>
        <v/>
      </c>
      <c r="H6" s="55"/>
      <c r="J6" s="54" t="str">
        <f>_xlfn.XLOOKUP(K5,mat!$A:$A, mat!$B:$B,"") &amp; ""</f>
        <v/>
      </c>
      <c r="K6" s="55"/>
      <c r="M6" s="54" t="str">
        <f>_xlfn.XLOOKUP(N5,mat!$A:$A, mat!$B:$B,"") &amp; ""</f>
        <v/>
      </c>
      <c r="N6" s="55"/>
      <c r="P6" s="54" t="str">
        <f>_xlfn.XLOOKUP(Q5,mat!$A:$A, mat!$B:$B,"") &amp; ""</f>
        <v/>
      </c>
      <c r="Q6" s="55"/>
      <c r="R6" s="1"/>
      <c r="S6" s="54" t="str">
        <f>_xlfn.XLOOKUP(T5,mat!$A:$A, mat!$B:$B,"") &amp; ""</f>
        <v/>
      </c>
      <c r="T6" s="55"/>
      <c r="U6" s="1"/>
      <c r="V6" s="54" t="str">
        <f>_xlfn.XLOOKUP(W5,mat!$A:$A, mat!$B:$B,"") &amp; ""</f>
        <v/>
      </c>
      <c r="W6" s="55"/>
      <c r="X6" s="1"/>
      <c r="Y6" s="54" t="str">
        <f>_xlfn.XLOOKUP(Z5,mat!$A:$A, mat!$B:$B,"") &amp; ""</f>
        <v/>
      </c>
      <c r="Z6" s="55"/>
      <c r="AA6" s="1"/>
      <c r="AB6" s="54" t="str">
        <f>_xlfn.XLOOKUP(AC5,mat!$A:$A, mat!$B:$B,"") &amp; ""</f>
        <v/>
      </c>
      <c r="AC6" s="55"/>
      <c r="AE6" s="54" t="str">
        <f>_xlfn.XLOOKUP(AF5,mat!$A:$A, mat!$B:$B,"") &amp; ""</f>
        <v/>
      </c>
      <c r="AF6" s="55"/>
      <c r="AG6" s="1"/>
      <c r="AH6" s="54" t="str">
        <f>_xlfn.XLOOKUP(AI5,mat!$A:$A, mat!$B:$B,"") &amp; ""</f>
        <v/>
      </c>
      <c r="AI6" s="55"/>
      <c r="AJ6" s="1"/>
      <c r="AK6" s="54" t="str">
        <f>_xlfn.XLOOKUP(AL5,mat!$A:$A, mat!$B:$B,"") &amp; ""</f>
        <v/>
      </c>
      <c r="AL6" s="55"/>
      <c r="AM6" s="1"/>
      <c r="AN6" s="54" t="str">
        <f>_xlfn.XLOOKUP(AO5,mat!$A:$A, mat!$B:$B,"") &amp; ""</f>
        <v/>
      </c>
      <c r="AO6" s="55"/>
      <c r="AP6" s="1"/>
      <c r="AQ6" s="54" t="str">
        <f>_xlfn.XLOOKUP(AR5,mat!$A:$A, mat!$B:$B,"") &amp; ""</f>
        <v/>
      </c>
      <c r="AR6" s="55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0.0</v>
      </c>
      <c r="B8" s="3">
        <v>40.0</v>
      </c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40.0</v>
      </c>
      <c r="B9" s="3">
        <v>40.0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80.0</v>
      </c>
      <c r="B10" s="3">
        <v>20.0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140.0</v>
      </c>
      <c r="B11" s="3">
        <v>20.0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E6:AF6"/>
    <mergeCell ref="AH6:AI6"/>
    <mergeCell ref="AK6:AL6"/>
    <mergeCell ref="AN6:AO6"/>
    <mergeCell ref="AQ6:AR6"/>
    <mergeCell ref="P6:Q6"/>
    <mergeCell ref="S6:T6"/>
    <mergeCell ref="V6:W6"/>
    <mergeCell ref="Y6:Z6"/>
    <mergeCell ref="AB6:AC6"/>
    <mergeCell ref="A6:B6"/>
    <mergeCell ref="D6:E6"/>
    <mergeCell ref="G6:H6"/>
    <mergeCell ref="J6:K6"/>
    <mergeCell ref="M6:N6"/>
    <mergeCell ref="AE4:AF4"/>
    <mergeCell ref="AH4:AI4"/>
    <mergeCell ref="AK4:AL4"/>
    <mergeCell ref="AN4:AO4"/>
    <mergeCell ref="AQ4:AR4"/>
    <mergeCell ref="P4:Q4"/>
    <mergeCell ref="S4:T4"/>
    <mergeCell ref="V4:W4"/>
    <mergeCell ref="Y4:Z4"/>
    <mergeCell ref="AB4:AC4"/>
    <mergeCell ref="A4:B4"/>
    <mergeCell ref="D4:E4"/>
    <mergeCell ref="G4:H4"/>
    <mergeCell ref="J4:K4"/>
    <mergeCell ref="M4:N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169</v>
      </c>
    </row>
    <row r="4" spans="1:44" x14ac:dyDescent="0.2">
      <c r="A4" s="53" t="s">
        <v>150</v>
      </c>
      <c r="B4" s="53"/>
      <c r="D4" s="53" t="s">
        <v>151</v>
      </c>
      <c r="E4" s="53"/>
      <c r="G4" s="53" t="s">
        <v>152</v>
      </c>
      <c r="H4" s="53"/>
      <c r="J4" s="53" t="s">
        <v>153</v>
      </c>
      <c r="K4" s="53"/>
      <c r="M4" s="53" t="s">
        <v>154</v>
      </c>
      <c r="N4" s="53"/>
      <c r="P4" s="53" t="s">
        <v>155</v>
      </c>
      <c r="Q4" s="53"/>
      <c r="R4" s="1"/>
      <c r="S4" s="53" t="s">
        <v>156</v>
      </c>
      <c r="T4" s="53"/>
      <c r="U4" s="1"/>
      <c r="V4" s="53" t="s">
        <v>157</v>
      </c>
      <c r="W4" s="53"/>
      <c r="X4" s="1"/>
      <c r="Y4" s="53" t="s">
        <v>158</v>
      </c>
      <c r="Z4" s="53"/>
      <c r="AA4" s="1"/>
      <c r="AB4" s="53" t="s">
        <v>159</v>
      </c>
      <c r="AC4" s="53"/>
      <c r="AE4" s="53" t="s">
        <v>160</v>
      </c>
      <c r="AF4" s="53"/>
      <c r="AG4" s="1"/>
      <c r="AH4" s="53" t="s">
        <v>161</v>
      </c>
      <c r="AI4" s="53"/>
      <c r="AJ4" s="1"/>
      <c r="AK4" s="53" t="s">
        <v>162</v>
      </c>
      <c r="AL4" s="53"/>
      <c r="AM4" s="1"/>
      <c r="AN4" s="53" t="s">
        <v>163</v>
      </c>
      <c r="AO4" s="53"/>
      <c r="AP4" s="1"/>
      <c r="AQ4" s="53" t="s">
        <v>164</v>
      </c>
      <c r="AR4" s="53"/>
    </row>
    <row r="5" spans="1:44" x14ac:dyDescent="0.2">
      <c r="A5" s="43" t="s">
        <v>123</v>
      </c>
      <c r="B5" s="44">
        <v>1</v>
      </c>
      <c r="D5" s="43" t="s">
        <v>123</v>
      </c>
      <c r="E5" s="44">
        <v>2</v>
      </c>
      <c r="G5" s="43" t="s">
        <v>123</v>
      </c>
      <c r="H5" s="44">
        <v>3</v>
      </c>
      <c r="J5" s="43" t="s">
        <v>123</v>
      </c>
      <c r="K5" s="44">
        <v>4</v>
      </c>
      <c r="M5" s="43" t="s">
        <v>123</v>
      </c>
      <c r="N5" s="44">
        <v>5</v>
      </c>
      <c r="P5" s="43" t="s">
        <v>123</v>
      </c>
      <c r="Q5" s="44">
        <v>6</v>
      </c>
      <c r="R5" s="1"/>
      <c r="S5" s="43" t="s">
        <v>123</v>
      </c>
      <c r="T5" s="44">
        <v>7</v>
      </c>
      <c r="U5" s="1"/>
      <c r="V5" s="43" t="s">
        <v>123</v>
      </c>
      <c r="W5" s="44">
        <v>8</v>
      </c>
      <c r="X5" s="1"/>
      <c r="Y5" s="43" t="s">
        <v>123</v>
      </c>
      <c r="Z5" s="44">
        <v>9</v>
      </c>
      <c r="AA5" s="1"/>
      <c r="AB5" s="43" t="s">
        <v>123</v>
      </c>
      <c r="AC5" s="44">
        <v>10</v>
      </c>
      <c r="AE5" s="43" t="s">
        <v>123</v>
      </c>
      <c r="AF5" s="44">
        <v>11</v>
      </c>
      <c r="AG5" s="1"/>
      <c r="AH5" s="43" t="s">
        <v>123</v>
      </c>
      <c r="AI5" s="44">
        <v>12</v>
      </c>
      <c r="AJ5" s="1"/>
      <c r="AK5" s="43" t="s">
        <v>123</v>
      </c>
      <c r="AL5" s="44">
        <v>13</v>
      </c>
      <c r="AM5" s="1"/>
      <c r="AN5" s="43" t="s">
        <v>123</v>
      </c>
      <c r="AO5" s="44">
        <v>14</v>
      </c>
      <c r="AP5" s="1"/>
      <c r="AQ5" s="43" t="s">
        <v>123</v>
      </c>
      <c r="AR5" s="44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N6:AO6"/>
    <mergeCell ref="AQ6:AR6"/>
    <mergeCell ref="V6:W6"/>
    <mergeCell ref="Y6:Z6"/>
    <mergeCell ref="AB6:AC6"/>
    <mergeCell ref="AE6:AF6"/>
    <mergeCell ref="AH6:AI6"/>
    <mergeCell ref="AK6:AL6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P4:Q4"/>
    <mergeCell ref="A4:B4"/>
    <mergeCell ref="D4:E4"/>
    <mergeCell ref="G4:H4"/>
    <mergeCell ref="J4:K4"/>
    <mergeCell ref="M4:N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G23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7" x14ac:dyDescent="0.2">
      <c r="A2" s="58" t="s">
        <v>84</v>
      </c>
      <c r="B2" s="58"/>
      <c r="D2" s="59" t="s">
        <v>82</v>
      </c>
      <c r="E2" s="59"/>
      <c r="G2" s="24" t="s">
        <v>83</v>
      </c>
    </row>
    <row r="3" spans="1:7" x14ac:dyDescent="0.2">
      <c r="A3" s="2" t="s">
        <v>3</v>
      </c>
      <c r="B3" s="2" t="s">
        <v>4</v>
      </c>
      <c r="D3" s="2" t="s">
        <v>3</v>
      </c>
      <c r="E3" s="2" t="s">
        <v>4</v>
      </c>
    </row>
    <row r="4" spans="1:7" x14ac:dyDescent="0.2">
      <c r="A4" s="3">
        <v>0.0</v>
      </c>
      <c r="B4" s="3">
        <v>30.0</v>
      </c>
      <c r="D4" s="3"/>
      <c r="E4" s="3"/>
    </row>
    <row r="5" spans="1:7" x14ac:dyDescent="0.2">
      <c r="A5" s="3">
        <v>55.0</v>
      </c>
      <c r="B5" s="3">
        <v>30.0</v>
      </c>
      <c r="D5" s="3"/>
      <c r="E5" s="3"/>
    </row>
    <row r="6" spans="1:7" x14ac:dyDescent="0.2">
      <c r="A6" s="3">
        <v>90.0</v>
      </c>
      <c r="B6" s="3">
        <v>14.0</v>
      </c>
      <c r="D6" s="3"/>
      <c r="E6" s="3"/>
    </row>
    <row r="7" spans="1:7" x14ac:dyDescent="0.2">
      <c r="A7" s="3">
        <v>140.0</v>
      </c>
      <c r="B7" s="3">
        <v>14.0</v>
      </c>
      <c r="D7" s="3"/>
      <c r="E7" s="3"/>
    </row>
    <row r="8" spans="1:7" x14ac:dyDescent="0.2">
      <c r="A8" s="3"/>
      <c r="B8" s="3"/>
      <c r="D8" s="3"/>
      <c r="E8" s="3"/>
    </row>
    <row r="9" spans="1:7" x14ac:dyDescent="0.2">
      <c r="A9" s="3"/>
      <c r="B9" s="3"/>
      <c r="D9" s="3"/>
      <c r="E9" s="3"/>
    </row>
    <row r="10" spans="1:7" x14ac:dyDescent="0.2">
      <c r="A10" s="3"/>
      <c r="B10" s="3"/>
      <c r="D10" s="3"/>
      <c r="E10" s="3"/>
    </row>
    <row r="11" spans="1:7" x14ac:dyDescent="0.2">
      <c r="A11" s="3"/>
      <c r="B11" s="3"/>
      <c r="D11" s="3"/>
      <c r="E11" s="3"/>
    </row>
    <row r="12" spans="1:7" x14ac:dyDescent="0.2">
      <c r="A12" s="4"/>
      <c r="B12" s="4"/>
      <c r="D12" s="4"/>
      <c r="E12" s="4"/>
    </row>
    <row r="13" spans="1:7" x14ac:dyDescent="0.2">
      <c r="A13" s="4"/>
      <c r="B13" s="4"/>
      <c r="D13" s="4"/>
      <c r="E13" s="4"/>
    </row>
    <row r="14" spans="1:7" x14ac:dyDescent="0.2">
      <c r="A14" s="4"/>
      <c r="B14" s="4"/>
      <c r="D14" s="4"/>
      <c r="E14" s="4"/>
    </row>
    <row r="15" spans="1:7" x14ac:dyDescent="0.2">
      <c r="A15" s="4"/>
      <c r="B15" s="4"/>
      <c r="D15" s="4"/>
      <c r="E15" s="4"/>
    </row>
    <row r="16" spans="1:7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</sheetData>
  <mergeCells count="2">
    <mergeCell ref="A2:B2"/>
    <mergeCell ref="D2: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55.0</v>
      </c>
      <c r="C3" s="3">
        <v>75.0</v>
      </c>
      <c r="D3" s="3" t="inlineStr">
        <is>
          <t>Depth</t>
        </is>
      </c>
      <c r="E3" s="3">
        <v>10.0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124</v>
      </c>
      <c r="C2" s="60"/>
      <c r="D2" s="60"/>
      <c r="F2" s="60" t="s">
        <v>125</v>
      </c>
      <c r="G2" s="60"/>
      <c r="H2" s="60"/>
      <c r="J2" s="60" t="s">
        <v>126</v>
      </c>
      <c r="K2" s="60"/>
      <c r="L2" s="60"/>
      <c r="N2" s="60" t="s">
        <v>127</v>
      </c>
      <c r="O2" s="60"/>
      <c r="P2" s="60"/>
      <c r="R2" s="60" t="s">
        <v>128</v>
      </c>
      <c r="S2" s="60"/>
      <c r="T2" s="60"/>
      <c r="V2" s="60" t="s">
        <v>129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142</v>
      </c>
      <c r="C2" s="61"/>
      <c r="D2" s="61"/>
      <c r="F2" s="61" t="s">
        <v>143</v>
      </c>
      <c r="G2" s="61"/>
      <c r="H2" s="61"/>
      <c r="J2" s="61" t="s">
        <v>144</v>
      </c>
      <c r="K2" s="61"/>
      <c r="L2" s="61"/>
      <c r="N2" s="61" t="s">
        <v>145</v>
      </c>
      <c r="O2" s="61"/>
      <c r="P2" s="61"/>
      <c r="R2" s="61" t="s">
        <v>146</v>
      </c>
      <c r="S2" s="61"/>
      <c r="T2" s="61"/>
      <c r="V2" s="61" t="s">
        <v>147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T31" sqref="T31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208</v>
      </c>
      <c r="H2" s="45" t="s">
        <v>209</v>
      </c>
      <c r="I2" s="45" t="s">
        <v>193</v>
      </c>
      <c r="J2" s="32" t="s">
        <v>107</v>
      </c>
      <c r="K2" s="32" t="s">
        <v>108</v>
      </c>
      <c r="L2" s="32" t="s">
        <v>109</v>
      </c>
      <c r="M2" s="32" t="s">
        <v>194</v>
      </c>
      <c r="N2" s="32" t="s">
        <v>195</v>
      </c>
      <c r="O2" s="32" t="s">
        <v>210</v>
      </c>
      <c r="P2" s="33" t="s">
        <v>110</v>
      </c>
      <c r="Q2" s="33" t="s">
        <v>100</v>
      </c>
      <c r="R2" s="33" t="s">
        <v>106</v>
      </c>
      <c r="Z2" t="s">
        <v>196</v>
      </c>
      <c r="AA2" t="s">
        <v>197</v>
      </c>
      <c r="AB2" t="s">
        <v>198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199</v>
      </c>
      <c r="AA3" t="s">
        <v>200</v>
      </c>
      <c r="AB3" t="s">
        <v>201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202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203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196</v>
      </c>
      <c r="AA8" t="s">
        <v>197</v>
      </c>
      <c r="AB8" t="s">
        <v>198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199</v>
      </c>
      <c r="AA9" t="s">
        <v>200</v>
      </c>
      <c r="AB9" t="s">
        <v>201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202</v>
      </c>
      <c r="AA10" t="s">
        <v>200</v>
      </c>
      <c r="AB10" t="s">
        <v>198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203</v>
      </c>
      <c r="AA11" t="s">
        <v>200</v>
      </c>
      <c r="AB11" t="s">
        <v>198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7"/>
      <c r="U23" t="s">
        <v>174</v>
      </c>
    </row>
    <row r="24" spans="1:21" x14ac:dyDescent="0.2">
      <c r="K24" s="9"/>
      <c r="L24" s="9"/>
      <c r="T24" s="31"/>
      <c r="U24" s="9" t="s">
        <v>175</v>
      </c>
    </row>
    <row r="25" spans="1:21" x14ac:dyDescent="0.2">
      <c r="K25" s="9"/>
      <c r="L25" s="9"/>
      <c r="T25" s="34"/>
      <c r="U25" s="9" t="s">
        <v>176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165</v>
      </c>
      <c r="H2" s="45" t="s">
        <v>173</v>
      </c>
      <c r="I2" s="45" t="s">
        <v>193</v>
      </c>
      <c r="J2" s="32" t="s">
        <v>166</v>
      </c>
      <c r="K2" s="32" t="s">
        <v>167</v>
      </c>
      <c r="L2" s="46" t="s">
        <v>170</v>
      </c>
      <c r="M2" s="46" t="s">
        <v>171</v>
      </c>
      <c r="N2" s="33" t="s">
        <v>100</v>
      </c>
      <c r="O2" s="33" t="s">
        <v>168</v>
      </c>
      <c r="P2" s="33" t="s">
        <v>106</v>
      </c>
      <c r="Q2" s="33" t="s">
        <v>177</v>
      </c>
      <c r="Z2" t="s">
        <v>40</v>
      </c>
      <c r="AA2" t="s">
        <v>198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76</v>
      </c>
      <c r="AA3" t="s">
        <v>201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7"/>
      <c r="T16" t="s">
        <v>174</v>
      </c>
    </row>
    <row r="17" spans="19:20" x14ac:dyDescent="0.2">
      <c r="S17" s="31"/>
      <c r="T17" s="9" t="s">
        <v>175</v>
      </c>
    </row>
    <row r="18" spans="19:20" x14ac:dyDescent="0.2">
      <c r="S18" s="34"/>
      <c r="T18" s="9" t="s">
        <v>176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172</v>
      </c>
      <c r="C2" s="12" t="s">
        <v>3</v>
      </c>
      <c r="D2" s="12" t="s">
        <v>4</v>
      </c>
      <c r="E2" s="12" t="s">
        <v>204</v>
      </c>
      <c r="F2" s="12" t="s">
        <v>211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R24"/>
  <sheetViews>
    <sheetView showGridLines="0" zoomScale="140" zoomScaleNormal="140" workbookViewId="0">
      <selection activeCell="G17" sqref="G17:H17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2" t="s">
        <v>135</v>
      </c>
      <c r="C2" s="62"/>
      <c r="E2" s="58" t="s">
        <v>130</v>
      </c>
      <c r="F2" s="58"/>
      <c r="H2" s="58" t="s">
        <v>131</v>
      </c>
      <c r="I2" s="58"/>
      <c r="K2" s="58" t="s">
        <v>132</v>
      </c>
      <c r="L2" s="58"/>
      <c r="N2" s="58" t="s">
        <v>133</v>
      </c>
      <c r="O2" s="58"/>
      <c r="Q2" s="58" t="s">
        <v>134</v>
      </c>
      <c r="R2" s="58"/>
    </row>
    <row r="3" spans="2:18" x14ac:dyDescent="0.2">
      <c r="B3" s="62"/>
      <c r="C3" s="62"/>
      <c r="E3" s="37" t="s">
        <v>94</v>
      </c>
      <c r="F3" s="38"/>
      <c r="H3" s="37" t="s">
        <v>94</v>
      </c>
      <c r="I3" s="38"/>
      <c r="K3" s="37" t="s">
        <v>94</v>
      </c>
      <c r="L3" s="38"/>
      <c r="N3" s="37" t="s">
        <v>94</v>
      </c>
      <c r="O3" s="38"/>
      <c r="Q3" s="37" t="s">
        <v>94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R24"/>
  <sheetViews>
    <sheetView showGridLines="0" zoomScale="140" zoomScaleNormal="140" workbookViewId="0">
      <selection activeCell="F6" sqref="F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3" t="s">
        <v>137</v>
      </c>
      <c r="C2" s="63"/>
      <c r="E2" s="59" t="s">
        <v>136</v>
      </c>
      <c r="F2" s="59"/>
      <c r="H2" s="59" t="s">
        <v>138</v>
      </c>
      <c r="I2" s="59"/>
      <c r="K2" s="59" t="s">
        <v>139</v>
      </c>
      <c r="L2" s="59"/>
      <c r="N2" s="59" t="s">
        <v>140</v>
      </c>
      <c r="O2" s="59"/>
      <c r="Q2" s="59" t="s">
        <v>141</v>
      </c>
      <c r="R2" s="59"/>
    </row>
    <row r="3" spans="2:18" x14ac:dyDescent="0.2">
      <c r="B3" s="63"/>
      <c r="C3" s="63"/>
      <c r="E3" s="39" t="s">
        <v>94</v>
      </c>
      <c r="F3" s="40"/>
      <c r="H3" s="39" t="s">
        <v>94</v>
      </c>
      <c r="I3" s="40"/>
      <c r="K3" s="39" t="s">
        <v>94</v>
      </c>
      <c r="L3" s="40"/>
      <c r="N3" s="39" t="s">
        <v>94</v>
      </c>
      <c r="O3" s="40"/>
      <c r="Q3" s="39" t="s">
        <v>94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2026-07-10T03:46:43Z</dcterms:modified>
</cp:coreProperties>
</file>