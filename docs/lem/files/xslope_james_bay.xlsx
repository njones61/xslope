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<sst xmlns="http://schemas.openxmlformats.org/spreadsheetml/2006/main" count="602" uniqueCount="319">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</sst>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Fill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Clay crust</t>
        </is>
      </c>
      <c r="C12" s="3">
        <v>20.0</v>
      </c>
      <c r="D12" s="3">
        <v>20.0</v>
      </c>
      <c r="E12" s="3" t="inlineStr">
        <is>
          <t>mc</t>
        </is>
      </c>
      <c r="F12" s="3">
        <v>41.0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41.0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Marine clay</t>
        </is>
      </c>
      <c r="C13" s="3">
        <v>18.8</v>
      </c>
      <c r="D13" s="3">
        <v>18.8</v>
      </c>
      <c r="E13" s="3" t="inlineStr">
        <is>
          <t>mc</t>
        </is>
      </c>
      <c r="F13" s="3">
        <v>34.5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34.5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Lacustrine clay</t>
        </is>
      </c>
      <c r="C14" s="3">
        <v>20.3</v>
      </c>
      <c r="D14" s="3">
        <v>20.3</v>
      </c>
      <c r="E14" s="3" t="inlineStr">
        <is>
          <t>mc</t>
        </is>
      </c>
      <c r="F14" s="3">
        <v>31.2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31.2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Fill</v>
      </c>
      <c r="B6" s="57"/>
      <c r="D6" s="56" t="str">
        <f>_xlfn.XLOOKUP(E5,mat!$A:$A, mat!$B:$B,"") &amp; ""</f>
        <v>Clay crust</v>
      </c>
      <c r="E6" s="57"/>
      <c r="G6" s="56" t="str">
        <f>_xlfn.XLOOKUP(H5,mat!$A:$A, mat!$B:$B,"") &amp; ""</f>
        <v>Marine clay</v>
      </c>
      <c r="H6" s="57"/>
      <c r="J6" s="56" t="str">
        <f>_xlfn.XLOOKUP(K5,mat!$A:$A, mat!$B:$B,"") &amp; ""</f>
        <v>Lacustrine clay</v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-17.0</v>
      </c>
      <c r="B9" s="3">
        <v>31.0</v>
      </c>
      <c r="D9" s="3">
        <v>-17.0</v>
      </c>
      <c r="E9" s="3">
        <v>19.0</v>
      </c>
      <c r="G9" s="3">
        <v>-17.0</v>
      </c>
      <c r="H9" s="3">
        <v>15.0</v>
      </c>
      <c r="J9" s="3">
        <v>-17.0</v>
      </c>
      <c r="K9" s="3">
        <v>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31.0</v>
      </c>
      <c r="D10" s="3">
        <v>168.0</v>
      </c>
      <c r="E10" s="3">
        <v>19.0</v>
      </c>
      <c r="G10" s="3">
        <v>168.0</v>
      </c>
      <c r="H10" s="3">
        <v>15.0</v>
      </c>
      <c r="J10" s="3">
        <v>168.0</v>
      </c>
      <c r="K10" s="3">
        <v>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58.0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114.0</v>
      </c>
      <c r="B12" s="3">
        <v>25.0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132.0</v>
      </c>
      <c r="B13" s="3">
        <v>19.0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168.0</v>
      </c>
      <c r="B14" s="3">
        <v>19.0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Fill</v>
      </c>
      <c r="B7" s="57"/>
      <c r="D7" s="58" t="str">
        <f>IF(OR(E5="",E5="material"),_xlfn.XLOOKUP(E6,mat!$A:$A, mat!$B:$B,"") &amp; "","")</f>
        <v>Clay crust</v>
      </c>
      <c r="E7" s="57"/>
      <c r="G7" s="58" t="str">
        <f>IF(OR(H5="",H5="material"),_xlfn.XLOOKUP(H6,mat!$A:$A, mat!$B:$B,"") &amp; "","")</f>
        <v>Marine clay</v>
      </c>
      <c r="H7" s="57"/>
      <c r="J7" s="58" t="str">
        <f>IF(OR(K5="",K5="material"),_xlfn.XLOOKUP(K6,mat!$A:$A, mat!$B:$B,"") &amp; "","")</f>
        <v>Lacustrine clay</v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49.0</v>
      </c>
      <c r="C3" s="3">
        <v>45.0</v>
      </c>
      <c r="D3" s="3" t="inlineStr">
        <is>
          <t>Depth</t>
        </is>
      </c>
      <c r="E3" s="3">
        <v>15.0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