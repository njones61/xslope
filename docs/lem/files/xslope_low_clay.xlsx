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<sst xmlns="http://schemas.openxmlformats.org/spreadsheetml/2006/main" count="602" uniqueCount="319">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</sst>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Upper Soil</t>
        </is>
      </c>
      <c r="C11" s="3">
        <v>20.0</v>
      </c>
      <c r="D11" s="3"/>
      <c r="E11" s="3" t="inlineStr">
        <is>
          <t>mc</t>
        </is>
      </c>
      <c r="F11" s="3">
        <v>95.0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125000.0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Middle Soil</t>
        </is>
      </c>
      <c r="C12" s="3">
        <v>20.0</v>
      </c>
      <c r="D12" s="3"/>
      <c r="E12" s="3" t="inlineStr">
        <is>
          <t>mc</t>
        </is>
      </c>
      <c r="F12" s="3">
        <v>15.0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Lower Soil</t>
        </is>
      </c>
      <c r="C13" s="3">
        <v>20.0</v>
      </c>
      <c r="D13" s="3"/>
      <c r="E13" s="3" t="inlineStr">
        <is>
          <t>cp</t>
        </is>
      </c>
      <c r="F13" s="3">
        <v>15.0</v>
      </c>
      <c r="G13" s="3">
        <v>0.0</v>
      </c>
      <c r="H13" s="3">
        <v>3.75</v>
      </c>
      <c r="I13" s="3">
        <v>4.0</v>
      </c>
      <c r="J13" s="3">
        <v>0.0</v>
      </c>
      <c r="K13" s="3">
        <v>0.0</v>
      </c>
      <c r="L13" s="3">
        <v>0.0</v>
      </c>
      <c r="M13" s="3">
        <v>8000.0</v>
      </c>
      <c r="N13" s="3">
        <v>0.45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Upper Soil</v>
      </c>
      <c r="B6" s="57"/>
      <c r="D6" s="56" t="str">
        <f>_xlfn.XLOOKUP(E5,mat!$A:$A, mat!$B:$B,"") &amp; ""</f>
        <v>Middle Soil</v>
      </c>
      <c r="E6" s="57"/>
      <c r="G6" s="56" t="str">
        <f>_xlfn.XLOOKUP(H5,mat!$A:$A, mat!$B:$B,"") &amp; ""</f>
        <v>Lower Soil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>
        <v>0.0</v>
      </c>
      <c r="E9" s="3">
        <v>8.0</v>
      </c>
      <c r="G9" s="3">
        <v>0.0</v>
      </c>
      <c r="H9" s="3">
        <v>4.0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8.0</v>
      </c>
      <c r="D10" s="3">
        <v>10.0</v>
      </c>
      <c r="E10" s="3">
        <v>8.0</v>
      </c>
      <c r="G10" s="3">
        <v>40.0</v>
      </c>
      <c r="H10" s="3">
        <v>4.0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26.0</v>
      </c>
      <c r="B11" s="3">
        <v>16.0</v>
      </c>
      <c r="D11" s="3">
        <v>40.0</v>
      </c>
      <c r="E11" s="3">
        <v>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Upper Soil</v>
      </c>
      <c r="B7" s="57"/>
      <c r="D7" s="58" t="str">
        <f>IF(OR(E5="",E5="material"),_xlfn.XLOOKUP(E6,mat!$A:$A, mat!$B:$B,"") &amp; "","")</f>
        <v>Middle Soil</v>
      </c>
      <c r="E7" s="57"/>
      <c r="G7" s="58" t="str">
        <f>IF(OR(H5="",H5="material"),_xlfn.XLOOKUP(H6,mat!$A:$A, mat!$B:$B,"") &amp; "","")</f>
        <v>Lower Soil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18.0</v>
      </c>
      <c r="C3" s="3">
        <v>20.0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