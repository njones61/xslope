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<sst xmlns="http://schemas.openxmlformats.org/spreadsheetml/2006/main" count="602" uniqueCount="319">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</sst>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 1</t>
        </is>
      </c>
      <c r="C11" s="3">
        <v>125.0</v>
      </c>
      <c r="D11" s="3">
        <v>130.0</v>
      </c>
      <c r="E11" s="3" t="inlineStr">
        <is>
          <t>mc</t>
        </is>
      </c>
      <c r="F11" s="3">
        <v>400.0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soil 2</t>
        </is>
      </c>
      <c r="C12" s="3">
        <v>122.0</v>
      </c>
      <c r="D12" s="3">
        <v>127.0</v>
      </c>
      <c r="E12" s="3" t="inlineStr">
        <is>
          <t>mc</t>
        </is>
      </c>
      <c r="F12" s="3">
        <v>600.0</v>
      </c>
      <c r="G12" s="3">
        <v>28.0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piezo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soil 3</t>
        </is>
      </c>
      <c r="C13" s="3">
        <v>115.0</v>
      </c>
      <c r="D13" s="3">
        <v>118.0</v>
      </c>
      <c r="E13" s="3" t="inlineStr">
        <is>
          <t>mc</t>
        </is>
      </c>
      <c r="F13" s="3">
        <v>900.0</v>
      </c>
      <c r="G13" s="3">
        <v>12.0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piezo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  <c r="AH13" s="3">
        <v>0.0</v>
      </c>
      <c r="AI13" s="3">
        <v>0.0</v>
      </c>
      <c r="AJ13" s="3" t="inlineStr">
        <is>
          <t>lf</t>
        </is>
      </c>
      <c r="AK13" s="3">
        <v>0.0</v>
      </c>
      <c r="AL13" s="3">
        <v>0.0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soil 1</v>
      </c>
      <c r="B6" s="57"/>
      <c r="D6" s="56" t="str">
        <f>_xlfn.XLOOKUP(E5,mat!$A:$A, mat!$B:$B,"") &amp; ""</f>
        <v>soil 2</v>
      </c>
      <c r="E6" s="57"/>
      <c r="G6" s="56" t="str">
        <f>_xlfn.XLOOKUP(H5,mat!$A:$A, mat!$B:$B,"") &amp; ""</f>
        <v>soil 3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84.0</v>
      </c>
      <c r="D9" s="3">
        <v>0.0</v>
      </c>
      <c r="E9" s="3">
        <v>64.0</v>
      </c>
      <c r="G9" s="3">
        <v>0.0</v>
      </c>
      <c r="H9" s="3">
        <v>40.0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150.0</v>
      </c>
      <c r="B10" s="3">
        <v>84.0</v>
      </c>
      <c r="D10" s="3">
        <v>174.7</v>
      </c>
      <c r="E10" s="3">
        <v>64.0</v>
      </c>
      <c r="G10" s="3">
        <v>320.0</v>
      </c>
      <c r="H10" s="3">
        <v>40.0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174.7</v>
      </c>
      <c r="B11" s="3">
        <v>64.0</v>
      </c>
      <c r="D11" s="3">
        <v>204.3</v>
      </c>
      <c r="E11" s="3">
        <v>40.0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soil 1</v>
      </c>
      <c r="B7" s="57"/>
      <c r="D7" s="58" t="str">
        <f>IF(OR(E5="",E5="material"),_xlfn.XLOOKUP(E6,mat!$A:$A, mat!$B:$B,"") &amp; "","")</f>
        <v>soil 2</v>
      </c>
      <c r="E7" s="57"/>
      <c r="G7" s="58" t="str">
        <f>IF(OR(H5="",H5="material"),_xlfn.XLOOKUP(H6,mat!$A:$A, mat!$B:$B,"") &amp; "","")</f>
        <v>soil 3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80.0</v>
      </c>
      <c r="D5" s="3"/>
      <c r="E5" s="3"/>
      <c r="G5" s="1" t="s">
        <v>18</v>
      </c>
      <c r="H5" t="s">
        <v>190</v>
      </c>
    </row>
    <row r="6" spans="1:8" x14ac:dyDescent="0.2">
      <c r="A6" s="3">
        <v>75.0</v>
      </c>
      <c r="B6" s="3">
        <v>79.0</v>
      </c>
      <c r="D6" s="3"/>
      <c r="E6" s="3"/>
      <c r="G6" s="1" t="s">
        <v>191</v>
      </c>
      <c r="H6" t="s">
        <v>192</v>
      </c>
    </row>
    <row r="7" spans="1:8" x14ac:dyDescent="0.2">
      <c r="A7" s="3">
        <v>112.0</v>
      </c>
      <c r="B7" s="3">
        <v>76.0</v>
      </c>
      <c r="D7" s="3"/>
      <c r="E7" s="3"/>
    </row>
    <row r="8" spans="1:8" x14ac:dyDescent="0.2">
      <c r="A8" s="3">
        <v>140.0</v>
      </c>
      <c r="B8" s="3">
        <v>70.0</v>
      </c>
      <c r="D8" s="3"/>
      <c r="E8" s="3"/>
    </row>
    <row r="9" spans="1:8" x14ac:dyDescent="0.2">
      <c r="A9" s="3">
        <v>170.0</v>
      </c>
      <c r="B9" s="3">
        <v>61.0</v>
      </c>
      <c r="D9" s="3"/>
      <c r="E9" s="3"/>
    </row>
    <row r="10" spans="1:8" x14ac:dyDescent="0.2">
      <c r="A10" s="3">
        <v>189.5</v>
      </c>
      <c r="B10" s="3">
        <v>52.0</v>
      </c>
      <c r="D10" s="3"/>
      <c r="E10" s="3"/>
    </row>
    <row r="11" spans="1:8" x14ac:dyDescent="0.2">
      <c r="A11" s="3">
        <v>204.3</v>
      </c>
      <c r="B11" s="3">
        <v>40.0</v>
      </c>
      <c r="D11" s="3"/>
      <c r="E11" s="3"/>
    </row>
    <row r="12" spans="1:8" x14ac:dyDescent="0.2">
      <c r="A12" s="3">
        <v>320.0</v>
      </c>
      <c r="B12" s="3">
        <v>40.0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195.0</v>
      </c>
      <c r="C3" s="3">
        <v>150.0</v>
      </c>
      <c r="D3" s="3" t="inlineStr">
        <is>
          <t>Depth</t>
        </is>
      </c>
      <c r="E3" s="3">
        <v>18.1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