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 Fill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123.0</v>
      </c>
      <c r="D12" s="3" t="n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Soft Clay</t>
        </is>
      </c>
      <c r="C13" s="3">
        <v>118.0</v>
      </c>
      <c r="D13" s="3" t="n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Dense Sand</t>
        </is>
      </c>
      <c r="C14" s="3">
        <v>131.0</v>
      </c>
      <c r="D14" s="3" t="n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1500000.0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 t="str">
        <f>_xlfn.XLOOKUP(B5,mat!$A:$A, mat!$B:$B,"") &amp; ""</f>
        <v>Sand Fill</v>
      </c>
      <c r="B6" s="57" t="n"/>
      <c r="D6" s="56" t="str">
        <f>_xlfn.XLOOKUP(E5,mat!$A:$A, mat!$B:$B,"") &amp; ""</f>
        <v>Sand</v>
      </c>
      <c r="E6" s="57" t="n"/>
      <c r="G6" s="56" t="str">
        <f>_xlfn.XLOOKUP(H5,mat!$A:$A, mat!$B:$B,"") &amp; ""</f>
        <v>Soft Clay</v>
      </c>
      <c r="H6" s="57" t="n"/>
      <c r="J6" s="56" t="str">
        <f>_xlfn.XLOOKUP(K5,mat!$A:$A, mat!$B:$B,"") &amp; ""</f>
        <v>Dense Sand</v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 t="str">
        <f>IF(OR(B5="",B5="material"),_xlfn.XLOOKUP(B6,mat!$A:$A, mat!$B:$B,"") &amp; "","")</f>
        <v>Sand Fill</v>
      </c>
      <c r="B7" s="57" t="n"/>
      <c r="D7" s="58" t="str">
        <f>IF(OR(E5="",E5="material"),_xlfn.XLOOKUP(E6,mat!$A:$A, mat!$B:$B,"") &amp; "","")</f>
        <v>Sand</v>
      </c>
      <c r="E7" s="57" t="n"/>
      <c r="G7" s="58" t="str">
        <f>IF(OR(H5="",H5="material"),_xlfn.XLOOKUP(H6,mat!$A:$A, mat!$B:$B,"") &amp; "","")</f>
        <v>Soft Clay</v>
      </c>
      <c r="H7" s="57" t="n"/>
      <c r="J7" s="58" t="str">
        <f>IF(OR(K5="",K5="material"),_xlfn.XLOOKUP(K6,mat!$A:$A, mat!$B:$B,"") &amp; "","")</f>
        <v>Dense Sand</v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-2.0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50.0</v>
      </c>
      <c r="B6" s="3">
        <v>-2.0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10.682271139</v>
      </c>
      <c r="B4" s="3">
        <v>-5.8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30.0</v>
      </c>
      <c r="B5" s="3">
        <v>-5.8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39.1221342532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