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<sst xmlns="http://schemas.openxmlformats.org/spreadsheetml/2006/main" count="602" uniqueCount="319">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</sst>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 Fill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123.0</v>
      </c>
      <c r="D12" s="3"/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Soft Clay</t>
        </is>
      </c>
      <c r="C13" s="3">
        <v>118.0</v>
      </c>
      <c r="D13" s="3"/>
      <c r="E13" s="3" t="inlineStr">
        <is>
          <t>mc</t>
        </is>
      </c>
      <c r="F13" s="3">
        <v>200.0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60000.0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Dense Sand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37.0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1500000.0</v>
      </c>
      <c r="N14" s="3">
        <v>0.28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Sand Fill</v>
      </c>
      <c r="B6" s="57"/>
      <c r="D6" s="56" t="str">
        <f>_xlfn.XLOOKUP(E5,mat!$A:$A, mat!$B:$B,"") &amp; ""</f>
        <v>Sand</v>
      </c>
      <c r="E6" s="57"/>
      <c r="G6" s="56" t="str">
        <f>_xlfn.XLOOKUP(H5,mat!$A:$A, mat!$B:$B,"") &amp; ""</f>
        <v>Soft Clay</v>
      </c>
      <c r="H6" s="57"/>
      <c r="J6" s="56" t="str">
        <f>_xlfn.XLOOKUP(K5,mat!$A:$A, mat!$B:$B,"") &amp; ""</f>
        <v>Dense Sand</v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-20.0</v>
      </c>
      <c r="E9" s="3">
        <v>0.0</v>
      </c>
      <c r="G9" s="3">
        <v>-20.0</v>
      </c>
      <c r="H9" s="3">
        <v>-4.0</v>
      </c>
      <c r="J9" s="3">
        <v>-20.0</v>
      </c>
      <c r="K9" s="3">
        <v>-6.0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10.0</v>
      </c>
      <c r="D10" s="3">
        <v>50.0</v>
      </c>
      <c r="E10" s="3">
        <v>0.0</v>
      </c>
      <c r="G10" s="3">
        <v>50.0</v>
      </c>
      <c r="H10" s="3">
        <v>-4.0</v>
      </c>
      <c r="J10" s="3">
        <v>50.0</v>
      </c>
      <c r="K10" s="3">
        <v>-6.0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50.0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Sand Fill</v>
      </c>
      <c r="B7" s="57"/>
      <c r="D7" s="58" t="str">
        <f>IF(OR(E5="",E5="material"),_xlfn.XLOOKUP(E6,mat!$A:$A, mat!$B:$B,"") &amp; "","")</f>
        <v>Sand</v>
      </c>
      <c r="E7" s="57"/>
      <c r="G7" s="58" t="str">
        <f>IF(OR(H5="",H5="material"),_xlfn.XLOOKUP(H6,mat!$A:$A, mat!$B:$B,"") &amp; "","")</f>
        <v>Soft Clay</v>
      </c>
      <c r="H7" s="57"/>
      <c r="J7" s="58" t="str">
        <f>IF(OR(K5="",K5="material"),_xlfn.XLOOKUP(K6,mat!$A:$A, mat!$B:$B,"") &amp; "","")</f>
        <v>Dense Sand</v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-20.0</v>
      </c>
      <c r="B5" s="3">
        <v>-2.0</v>
      </c>
      <c r="D5" s="3"/>
      <c r="E5" s="3"/>
      <c r="G5" s="1" t="s">
        <v>18</v>
      </c>
      <c r="H5" t="s">
        <v>190</v>
      </c>
    </row>
    <row r="6" spans="1:8" x14ac:dyDescent="0.2">
      <c r="A6" s="3">
        <v>50.0</v>
      </c>
      <c r="B6" s="3">
        <v>-2.0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10.682271139</v>
      </c>
      <c r="B4" s="3">
        <v>-5.8</v>
      </c>
      <c r="C4" s="3" t="inlineStr">
        <is>
          <t>Horiz</t>
        </is>
      </c>
      <c r="E4" t="s">
        <v>223</v>
      </c>
      <c r="F4" t="s">
        <v>224</v>
      </c>
    </row>
    <row r="5" spans="1:6" x14ac:dyDescent="0.2">
      <c r="A5" s="3">
        <v>30.0</v>
      </c>
      <c r="B5" s="3">
        <v>-5.8</v>
      </c>
      <c r="C5" s="3" t="inlineStr">
        <is>
          <t>Horiz</t>
        </is>
      </c>
      <c r="E5" t="s">
        <v>225</v>
      </c>
      <c r="F5" t="s">
        <v>226</v>
      </c>
    </row>
    <row r="6" spans="1:6" x14ac:dyDescent="0.2">
      <c r="A6" s="3">
        <v>39.1221342532</v>
      </c>
      <c r="B6" s="3">
        <v>10.0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