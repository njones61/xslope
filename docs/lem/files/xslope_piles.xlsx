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lem/files/"/>
    </mc:Choice>
  </mc:AlternateContent>
  <xr:revisionPtr revIDLastSave="0" documentId="13_ncr:1_{B2B0BEC2-B169-4F40-A0DC-06CF86F0024A}" xr6:coauthVersionLast="47" xr6:coauthVersionMax="47" xr10:uidLastSave="{00000000-0000-0000-0000-000000000000}"/>
  <bookViews>
    <workbookView xWindow="24840" yWindow="5860" windowWidth="37700" windowHeight="20620" activeTab="11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seep bc" sheetId="11" r:id="rId13"/>
    <sheet name="seep bc (2)" sheetId="14" r:id="rId14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6" i="15" l="1"/>
  <c r="AN6" i="15"/>
  <c r="AK6" i="15"/>
  <c r="AH6" i="15"/>
  <c r="AE6" i="15"/>
  <c r="AB6" i="15"/>
  <c r="Y6" i="15"/>
  <c r="V6" i="15"/>
  <c r="S6" i="15"/>
  <c r="P6" i="15"/>
  <c r="M6" i="15"/>
  <c r="J6" i="15"/>
  <c r="G6" i="15"/>
  <c r="D6" i="15"/>
  <c r="A6" i="15"/>
  <c r="AQ6" i="2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<sst xmlns="http://schemas.openxmlformats.org/spreadsheetml/2006/main" count="356" uniqueCount="179">
  <si>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</si>
  <si>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</si>
  <si>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</si>
  <si>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</si>
  <si>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</si>
  <si>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</si>
  <si>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</si>
  <si>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</si>
  <si>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</si>
  <si>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</si>
  <si>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</si>
  <si>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</si>
  <si>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</si>
  <si>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</si>
  <si>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</si>
  <si>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</si>
  <si>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</si>
  <si>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</si>
  <si>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</si>
  <si>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</si>
  <si>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</si>
  <si>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</si>
  <si>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</si>
  <si>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</si>
  <si>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</si>
  <si>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</si>
  <si>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</si>
  <si>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</si>
  <si>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</si>
  <si>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</si>
  <si>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</si>
  <si>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</si>
  <si>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</si>
  <si>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</si>
  <si>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</si>
  <si>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</si>
  <si>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</si>
  <si>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</si>
  <si>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</si>
  <si>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</si>
  <si>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</si>
  <si>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</si>
  <si>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</si>
  <si>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</si>
  <si>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</si>
  <si>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</si>
  <si>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</si>
  <si>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</si>
  <si>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</si>
  <si>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</si>
  <si>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</si>
  <si>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</si>
  <si>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</si>
  <si>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</si>
  <si>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</si>
  <si>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</si>
  <si>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</si>
  <si>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</si>
  <si>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</si>
  <si>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</si>
  <si>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</si>
  <si>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</si>
  <si>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</si>
  <si>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</si>
  <si>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</si>
  <si>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</si>
  <si>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</si>
  <si>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</si>
  <si>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</si>
  <si>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</si>
  <si>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</si>
  <si>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</si>
  <si>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</si>
  <si>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</si>
  <si>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</si>
  <si>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</si>
  <si>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</si>
  <si>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</si>
  <si>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</si>
  <si>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</si>
  <si>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</si>
  <si>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</si>
  <si>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</si>
  <si>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</si>
  <si>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</si>
  <si>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</si>
  <si>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</si>
  <si>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</si>
  <si>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</si>
  <si>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</si>
  <si>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</si>
  <si>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</si>
  <si>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</si>
  <si>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</si>
  <si>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</si>
  <si>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</si>
  <si>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</si>
  <si>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</si>
  <si>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</si>
  <si>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</si>
  <si>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</si>
  <si>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</si>
  <si>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</si>
  <si>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</si>
  <si>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</si>
  <si>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</si>
  <si>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</si>
  <si>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</si>
  <si>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</si>
  <si>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</si>
  <si>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</si>
  <si>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</si>
  <si>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</si>
  <si>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</si>
  <si>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</si>
  <si>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</si>
  <si>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</si>
  <si>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</si>
  <si>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</si>
  <si>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</si>
  <si>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</si>
  <si>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</si>
  <si>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</si>
  <si>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</si>
  <si>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</si>
  <si>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</si>
  <si>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</si>
  <si>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</si>
  <si>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</si>
  <si>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</si>
  <si>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</si>
  <si>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</si>
  <si>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</si>
  <si>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</si>
  <si>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</si>
  <si>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</si>
  <si>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</si>
  <si>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</si>
  <si>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</si>
  <si>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</si>
  <si>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</si>
  <si>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</si>
  <si>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</si>
  <si>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</si>
  <si>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</si>
  <si>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</si>
  <si>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</si>
  <si>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</si>
  <si>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</si>
  <si>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</si>
  <si>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</si>
  <si>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</si>
  <si>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</si>
  <si>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</si>
  <si>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</si>
  <si>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</si>
  <si>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</si>
  <si>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</si>
  <si>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</si>
  <si>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</si>
  <si>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</si>
  <si>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</si>
  <si>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</si>
  <si>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</si>
  <si>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</si>
  <si>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</si>
  <si>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</si>
  <si>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</si>
  <si>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label</t>
  </si>
  <si>
    <t>H</t>
  </si>
  <si>
    <t>theta</t>
  </si>
  <si>
    <t>D</t>
  </si>
  <si>
    <t>S</t>
  </si>
  <si>
    <t>I</t>
  </si>
  <si>
    <t>Required for LEM only</t>
  </si>
  <si>
    <t>Optional</t>
  </si>
  <si>
    <t xml:space="preserve">Polygons coordinates can be input in CW or CCW order. </t>
  </si>
  <si>
    <t>soil</t>
  </si>
  <si>
    <t>pile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</si>
</sst>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0" fillId="14" borderId="0" xfId="0" applyFill="1"/>
    <xf numFmtId="0" fontId="10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9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  <c:pt idx="0">
                  <c:v>-30</c:v>
                </c:pt>
                <c:pt idx="1">
                  <c:v>0</c:v>
                </c:pt>
                <c:pt idx="2">
                  <c:v>40</c:v>
                </c:pt>
                <c:pt idx="3">
                  <c:v>90</c:v>
                </c:pt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20</c:v>
                </c:pt>
                <c:pt idx="3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  <c:pt idx="0">
                  <c:v>10</c:v>
                </c:pt>
                <c:pt idx="1">
                  <c:v>10</c:v>
                </c:pt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  <c:pt idx="0">
                  <c:v>5</c:v>
                </c:pt>
                <c:pt idx="1">
                  <c:v>-10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E198-1942-8CC0-5F5B615D56D7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ser>
          <c:idx val="87"/>
          <c:order val="87"/>
          <c:tx>
            <c:v>Pile #11</c:v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4">
                    <a:lumMod val="50000"/>
                  </a:schemeClr>
                </a:solidFill>
                <a:ln w="9525">
                  <a:solidFill>
                    <a:schemeClr val="accent4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4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B-E198-1942-8CC0-5F5B615D56D7}"/>
              </c:ext>
            </c:extLst>
          </c:dPt>
          <c:xVal>
            <c:numRef>
              <c:f>(piles!$C$13,piles!$E$13)</c:f>
              <c:numCache>
                <c:formatCode>General</c:formatCode>
                <c:ptCount val="2"/>
              </c:numCache>
            </c:numRef>
          </c:xVal>
          <c:yVal>
            <c:numRef>
              <c:f>(piles!$D$13,piles!$F$13)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A2F6-274C-9E15-3D60CC318540}"/>
            </c:ext>
          </c:extLst>
        </c:ser>
        <c:ser>
          <c:idx val="88"/>
          <c:order val="88"/>
          <c:tx>
            <c:v>Pile #12</c:v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(piles!$C$14,piles!$E$14)</c:f>
              <c:numCache>
                <c:formatCode>General</c:formatCode>
                <c:ptCount val="2"/>
              </c:numCache>
            </c:numRef>
          </c:xVal>
          <c:yVal>
            <c:numRef>
              <c:f>(piles!$D$14,piles!$F$14)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A2F6-274C-9E15-3D60CC318540}"/>
            </c:ext>
          </c:extLst>
        </c:ser>
        <c:ser>
          <c:idx val="89"/>
          <c:order val="89"/>
          <c:tx>
            <c:v>Pile #13</c:v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(piles!$C$15,piles!$E$15)</c:f>
              <c:numCache>
                <c:formatCode>General</c:formatCode>
                <c:ptCount val="2"/>
              </c:numCache>
            </c:numRef>
          </c:xVal>
          <c:yVal>
            <c:numRef>
              <c:f>(piles!$D$15,piles!$F$15)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A2F6-274C-9E15-3D60CC318540}"/>
            </c:ext>
          </c:extLst>
        </c:ser>
        <c:ser>
          <c:idx val="90"/>
          <c:order val="90"/>
          <c:tx>
            <c:v>Pile #14</c:v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(piles!$C$16,piles!$E$16)</c:f>
              <c:numCache>
                <c:formatCode>General</c:formatCode>
                <c:ptCount val="2"/>
              </c:numCache>
            </c:numRef>
          </c:xVal>
          <c:yVal>
            <c:numRef>
              <c:f>(piles!$D$16,piles!$F$16)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A2F6-274C-9E15-3D60CC318540}"/>
            </c:ext>
          </c:extLst>
        </c:ser>
        <c:ser>
          <c:idx val="91"/>
          <c:order val="91"/>
          <c:tx>
            <c:v>Pile #15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(piles!$C$17,piles!$E$17)</c:f>
              <c:numCache>
                <c:formatCode>General</c:formatCode>
                <c:ptCount val="2"/>
              </c:numCache>
            </c:numRef>
          </c:xVal>
          <c:yVal>
            <c:numRef>
              <c:f>(piles!$D$17,piles!$F$17)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A2F6-274C-9E15-3D60CC318540}"/>
            </c:ext>
          </c:extLst>
        </c:ser>
        <c:ser>
          <c:idx val="92"/>
          <c:order val="92"/>
          <c:tx>
            <c:v>Pile #16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(piles!$C$18,piles!$E$18)</c:f>
              <c:numCache>
                <c:formatCode>General</c:formatCode>
                <c:ptCount val="2"/>
              </c:numCache>
            </c:numRef>
          </c:xVal>
          <c:yVal>
            <c:numRef>
              <c:f>(piles!$D$18,piles!$F$18)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A2F6-274C-9E15-3D60CC318540}"/>
            </c:ext>
          </c:extLst>
        </c:ser>
        <c:ser>
          <c:idx val="93"/>
          <c:order val="93"/>
          <c:tx>
            <c:v>Pile #17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(piles!$C$19,piles!$E$19)</c:f>
              <c:numCache>
                <c:formatCode>General</c:formatCode>
                <c:ptCount val="2"/>
              </c:numCache>
            </c:numRef>
          </c:xVal>
          <c:yVal>
            <c:numRef>
              <c:f>(piles!$D$19,piles!$F$19)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A2F6-274C-9E15-3D60CC318540}"/>
            </c:ext>
          </c:extLst>
        </c:ser>
        <c:ser>
          <c:idx val="94"/>
          <c:order val="94"/>
          <c:tx>
            <c:v>Pile #18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(piles!$C$20,piles!$E$20)</c:f>
              <c:numCache>
                <c:formatCode>General</c:formatCode>
                <c:ptCount val="2"/>
              </c:numCache>
            </c:numRef>
          </c:xVal>
          <c:yVal>
            <c:numRef>
              <c:f>(piles!$D$20,piles!$F$20)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8-A2F6-274C-9E15-3D60CC318540}"/>
            </c:ext>
          </c:extLst>
        </c:ser>
        <c:ser>
          <c:idx val="95"/>
          <c:order val="95"/>
          <c:tx>
            <c:v>Pile #19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(piles!$C$21,piles!$E$21)</c:f>
              <c:numCache>
                <c:formatCode>General</c:formatCode>
                <c:ptCount val="2"/>
              </c:numCache>
            </c:numRef>
          </c:xVal>
          <c:yVal>
            <c:numRef>
              <c:f>(piles!$D$21,piles!$F$21)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9-A2F6-274C-9E15-3D60CC318540}"/>
            </c:ext>
          </c:extLst>
        </c:ser>
        <c:ser>
          <c:idx val="96"/>
          <c:order val="96"/>
          <c:tx>
            <c:v>Pile #20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(piles!$C$22,piles!$E$22)</c:f>
              <c:numCache>
                <c:formatCode>General</c:formatCode>
                <c:ptCount val="2"/>
              </c:numCache>
            </c:numRef>
          </c:xVal>
          <c:yVal>
            <c:numRef>
              <c:f>(piles!$D$22,piles!$F$22)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A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553357</xdr:colOff>
      <xdr:row>2</xdr:row>
      <xdr:rowOff>99787</xdr:rowOff>
    </xdr:from>
    <xdr:to>
      <xdr:col>19</xdr:col>
      <xdr:colOff>27214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0885714" y="498930"/>
          <a:ext cx="4426857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endParaRPr lang="en-US" sz="1100" baseline="0"/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endParaRPr lang="en-US" sz="1100" baseline="0"/>
        </a:p>
        <a:p>
          <a:r>
            <a:rPr lang="en-US" sz="1100" b="1" baseline="0"/>
            <a:t>theta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(default 0°; positive = upward)</a:t>
          </a:r>
        </a:p>
        <a:p>
          <a:endParaRPr lang="en-US" sz="1100" baseline="0"/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</a:t>
          </a:r>
        </a:p>
        <a:p>
          <a:endParaRPr lang="en-US" sz="1100" baseline="0"/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(computed from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</a:t>
          </a:r>
          <a:r>
            <a:rPr lang="ar-AE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if omitted)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(computed from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</a:t>
          </a:r>
          <a:r>
            <a:rPr lang="ar-AE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if omitted)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zoomScale="140" zoomScaleNormal="140" workbookViewId="0">
      <selection activeCell="C27" sqref="C27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99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10</v>
      </c>
    </row>
    <row r="7" spans="1:7" x14ac:dyDescent="0.2">
      <c r="B7" s="48" t="s">
        <v>47</v>
      </c>
      <c r="C7" s="48"/>
      <c r="D7" s="48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119</v>
      </c>
      <c r="G8" t="s">
        <v>120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121</v>
      </c>
      <c r="G15" t="s">
        <v>123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96</v>
      </c>
      <c r="G17" s="9" t="s">
        <v>125</v>
      </c>
    </row>
    <row r="18" spans="2:7" x14ac:dyDescent="0.2">
      <c r="F18" s="1" t="s">
        <v>122</v>
      </c>
      <c r="G18" s="9" t="s">
        <v>124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topLeftCell="B1" zoomScale="125" zoomScaleNormal="140" workbookViewId="0">
      <selection activeCell="P7" sqref="P7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zoomScale="140" zoomScaleNormal="140" workbookViewId="0">
      <selection activeCell="D12" sqref="D12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85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88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89</v>
      </c>
      <c r="K5" s="9" t="s">
        <v>87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7" t="s">
        <v>57</v>
      </c>
      <c r="D7" s="47"/>
      <c r="E7" s="47"/>
      <c r="F7" s="47"/>
      <c r="G7" s="47"/>
      <c r="H7" s="47"/>
      <c r="I7" s="47"/>
      <c r="J7" s="47"/>
      <c r="K7" s="1"/>
      <c r="L7" s="47" t="s">
        <v>58</v>
      </c>
      <c r="M7" s="47"/>
      <c r="N7" s="47"/>
      <c r="O7" s="47"/>
      <c r="P7" s="47"/>
      <c r="Q7" s="47"/>
      <c r="R7" s="47" t="s">
        <v>93</v>
      </c>
      <c r="S7" s="47"/>
      <c r="T7" s="47"/>
      <c r="U7" s="47"/>
      <c r="V7" s="47"/>
      <c r="W7" s="47" t="s">
        <v>100</v>
      </c>
      <c r="X7" s="47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1" t="s">
        <v>151</v>
      </c>
      <c r="K8" s="21" t="s">
        <v>86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81</v>
      </c>
      <c r="Q8" s="23" t="s">
        <v>152</v>
      </c>
      <c r="R8" s="25" t="s">
        <v>90</v>
      </c>
      <c r="S8" s="25" t="s">
        <v>91</v>
      </c>
      <c r="T8" s="25" t="s">
        <v>92</v>
      </c>
      <c r="U8" s="25" t="s">
        <v>97</v>
      </c>
      <c r="V8" s="25" t="s">
        <v>98</v>
      </c>
      <c r="W8" s="29" t="s">
        <v>101</v>
      </c>
      <c r="X8" s="30" t="s">
        <v>102</v>
      </c>
    </row>
    <row r="9" spans="1:24" x14ac:dyDescent="0.2">
      <c r="A9" s="3">
        <v>1</v>
      </c>
      <c r="B9" s="3" t="s">
        <v>177</v>
      </c>
      <c r="C9" s="3">
        <v>130</v>
      </c>
      <c r="D9" s="3" t="s">
        <v>67</v>
      </c>
      <c r="E9" s="3">
        <v>400</v>
      </c>
      <c r="F9" s="3">
        <v>0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</row>
    <row r="10" spans="1:24" x14ac:dyDescent="0.2">
      <c r="A10" s="3">
        <v>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</row>
    <row r="11" spans="1:24" x14ac:dyDescent="0.2">
      <c r="A11" s="3">
        <v>3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">
      <c r="A12" s="3">
        <v>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F9:F50">
    <cfRule type="expression" dxfId="8" priority="1">
      <formula>$D9="cp"</formula>
    </cfRule>
  </conditionalFormatting>
  <conditionalFormatting sqref="G9:H50">
    <cfRule type="expression" dxfId="7" priority="3">
      <formula>$D9="mc"</formula>
    </cfRule>
  </conditionalFormatting>
  <conditionalFormatting sqref="I9:J50">
    <cfRule type="expression" dxfId="6" priority="5">
      <formula>$D9="cp"</formula>
    </cfRule>
  </conditionalFormatting>
  <conditionalFormatting sqref="N9:N50">
    <cfRule type="expression" dxfId="5" priority="7">
      <formula>$D9="cp"</formula>
    </cfRule>
  </conditionalFormatting>
  <conditionalFormatting sqref="O9:O50">
    <cfRule type="expression" dxfId="4" priority="14">
      <formula>$D9="mc"</formula>
    </cfRule>
  </conditionalFormatting>
  <conditionalFormatting sqref="P9:Q50">
    <cfRule type="expression" dxfId="3" priority="9">
      <formula>$D9="cp"</formula>
    </cfRule>
  </conditionalFormatting>
  <dataValidations count="2">
    <dataValidation type="list" allowBlank="1" showInputMessage="1" showErrorMessage="1" sqref="D9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-10</v>
      </c>
      <c r="D2" s="27" t="s">
        <v>94</v>
      </c>
    </row>
    <row r="4" spans="1:44" x14ac:dyDescent="0.2">
      <c r="A4" s="49" t="s">
        <v>2</v>
      </c>
      <c r="B4" s="49"/>
      <c r="D4" s="49" t="s">
        <v>5</v>
      </c>
      <c r="E4" s="49"/>
      <c r="G4" s="49" t="s">
        <v>6</v>
      </c>
      <c r="H4" s="49"/>
      <c r="J4" s="49" t="s">
        <v>7</v>
      </c>
      <c r="K4" s="49"/>
      <c r="M4" s="49" t="s">
        <v>8</v>
      </c>
      <c r="N4" s="49"/>
      <c r="P4" s="49" t="s">
        <v>9</v>
      </c>
      <c r="Q4" s="49"/>
      <c r="R4" s="1"/>
      <c r="S4" s="49" t="s">
        <v>10</v>
      </c>
      <c r="T4" s="49"/>
      <c r="U4" s="1"/>
      <c r="V4" s="49" t="s">
        <v>11</v>
      </c>
      <c r="W4" s="49"/>
      <c r="X4" s="1"/>
      <c r="Y4" s="49" t="s">
        <v>12</v>
      </c>
      <c r="Z4" s="49"/>
      <c r="AA4" s="1"/>
      <c r="AB4" s="49" t="s">
        <v>13</v>
      </c>
      <c r="AC4" s="49"/>
      <c r="AE4" s="49" t="s">
        <v>114</v>
      </c>
      <c r="AF4" s="49"/>
      <c r="AG4" s="1"/>
      <c r="AH4" s="49" t="s">
        <v>115</v>
      </c>
      <c r="AI4" s="49"/>
      <c r="AJ4" s="1"/>
      <c r="AK4" s="49" t="s">
        <v>116</v>
      </c>
      <c r="AL4" s="49"/>
      <c r="AM4" s="1"/>
      <c r="AN4" s="49" t="s">
        <v>117</v>
      </c>
      <c r="AO4" s="49"/>
      <c r="AP4" s="1"/>
      <c r="AQ4" s="49" t="s">
        <v>118</v>
      </c>
      <c r="AR4" s="49"/>
    </row>
    <row r="5" spans="1:44" x14ac:dyDescent="0.2">
      <c r="A5" s="41" t="s">
        <v>126</v>
      </c>
      <c r="B5" s="42">
        <v>1</v>
      </c>
      <c r="D5" s="41" t="s">
        <v>126</v>
      </c>
      <c r="E5" s="42">
        <v>2</v>
      </c>
      <c r="G5" s="41" t="s">
        <v>126</v>
      </c>
      <c r="H5" s="42">
        <v>3</v>
      </c>
      <c r="J5" s="41" t="s">
        <v>126</v>
      </c>
      <c r="K5" s="42">
        <v>4</v>
      </c>
      <c r="M5" s="41" t="s">
        <v>126</v>
      </c>
      <c r="N5" s="42">
        <v>5</v>
      </c>
      <c r="P5" s="41" t="s">
        <v>126</v>
      </c>
      <c r="Q5" s="42">
        <v>6</v>
      </c>
      <c r="R5" s="1"/>
      <c r="S5" s="41" t="s">
        <v>126</v>
      </c>
      <c r="T5" s="42">
        <v>7</v>
      </c>
      <c r="U5" s="1"/>
      <c r="V5" s="41" t="s">
        <v>126</v>
      </c>
      <c r="W5" s="42">
        <v>8</v>
      </c>
      <c r="X5" s="1"/>
      <c r="Y5" s="41" t="s">
        <v>126</v>
      </c>
      <c r="Z5" s="42">
        <v>9</v>
      </c>
      <c r="AA5" s="1"/>
      <c r="AB5" s="41" t="s">
        <v>126</v>
      </c>
      <c r="AC5" s="42">
        <v>10</v>
      </c>
      <c r="AE5" s="41" t="s">
        <v>126</v>
      </c>
      <c r="AF5" s="42">
        <v>11</v>
      </c>
      <c r="AG5" s="1"/>
      <c r="AH5" s="41" t="s">
        <v>126</v>
      </c>
      <c r="AI5" s="42">
        <v>12</v>
      </c>
      <c r="AJ5" s="1"/>
      <c r="AK5" s="41" t="s">
        <v>126</v>
      </c>
      <c r="AL5" s="42">
        <v>13</v>
      </c>
      <c r="AM5" s="1"/>
      <c r="AN5" s="41" t="s">
        <v>126</v>
      </c>
      <c r="AO5" s="42">
        <v>14</v>
      </c>
      <c r="AP5" s="1"/>
      <c r="AQ5" s="41" t="s">
        <v>126</v>
      </c>
      <c r="AR5" s="42">
        <v>15</v>
      </c>
    </row>
    <row r="6" spans="1:44" x14ac:dyDescent="0.2">
      <c r="A6" s="50" t="str">
        <f>_xlfn.XLOOKUP(B5,mat!$A:$A, mat!$B:$B,"") &amp; ""</f>
        <v>soil</v>
      </c>
      <c r="B6" s="51"/>
      <c r="D6" s="50" t="str">
        <f>_xlfn.XLOOKUP(E5,mat!$A:$A, mat!$B:$B,"") &amp; ""</f>
        <v/>
      </c>
      <c r="E6" s="51"/>
      <c r="G6" s="50" t="str">
        <f>_xlfn.XLOOKUP(H5,mat!$A:$A, mat!$B:$B,"") &amp; ""</f>
        <v/>
      </c>
      <c r="H6" s="51"/>
      <c r="J6" s="50" t="str">
        <f>_xlfn.XLOOKUP(K5,mat!$A:$A, mat!$B:$B,"") &amp; ""</f>
        <v/>
      </c>
      <c r="K6" s="51"/>
      <c r="M6" s="50" t="str">
        <f>_xlfn.XLOOKUP(N5,mat!$A:$A, mat!$B:$B,"") &amp; ""</f>
        <v/>
      </c>
      <c r="N6" s="51"/>
      <c r="P6" s="50" t="str">
        <f>_xlfn.XLOOKUP(Q5,mat!$A:$A, mat!$B:$B,"") &amp; ""</f>
        <v/>
      </c>
      <c r="Q6" s="51"/>
      <c r="R6" s="1"/>
      <c r="S6" s="50" t="str">
        <f>_xlfn.XLOOKUP(T5,mat!$A:$A, mat!$B:$B,"") &amp; ""</f>
        <v/>
      </c>
      <c r="T6" s="51"/>
      <c r="U6" s="1"/>
      <c r="V6" s="50" t="str">
        <f>_xlfn.XLOOKUP(W5,mat!$A:$A, mat!$B:$B,"") &amp; ""</f>
        <v/>
      </c>
      <c r="W6" s="51"/>
      <c r="X6" s="1"/>
      <c r="Y6" s="50" t="str">
        <f>_xlfn.XLOOKUP(Z5,mat!$A:$A, mat!$B:$B,"") &amp; ""</f>
        <v/>
      </c>
      <c r="Z6" s="51"/>
      <c r="AA6" s="1"/>
      <c r="AB6" s="50" t="str">
        <f>_xlfn.XLOOKUP(AC5,mat!$A:$A, mat!$B:$B,"") &amp; ""</f>
        <v/>
      </c>
      <c r="AC6" s="51"/>
      <c r="AE6" s="50" t="str">
        <f>_xlfn.XLOOKUP(AF5,mat!$A:$A, mat!$B:$B,"") &amp; ""</f>
        <v/>
      </c>
      <c r="AF6" s="51"/>
      <c r="AG6" s="1"/>
      <c r="AH6" s="50" t="str">
        <f>_xlfn.XLOOKUP(AI5,mat!$A:$A, mat!$B:$B,"") &amp; ""</f>
        <v/>
      </c>
      <c r="AI6" s="51"/>
      <c r="AJ6" s="1"/>
      <c r="AK6" s="50" t="str">
        <f>_xlfn.XLOOKUP(AL5,mat!$A:$A, mat!$B:$B,"") &amp; ""</f>
        <v/>
      </c>
      <c r="AL6" s="51"/>
      <c r="AM6" s="1"/>
      <c r="AN6" s="50" t="str">
        <f>_xlfn.XLOOKUP(AO5,mat!$A:$A, mat!$B:$B,"") &amp; ""</f>
        <v/>
      </c>
      <c r="AO6" s="51"/>
      <c r="AP6" s="1"/>
      <c r="AQ6" s="50" t="str">
        <f>_xlfn.XLOOKUP(AR5,mat!$A:$A, mat!$B:$B,"") &amp; ""</f>
        <v/>
      </c>
      <c r="AR6" s="51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-30</v>
      </c>
      <c r="B8" s="3">
        <v>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0</v>
      </c>
      <c r="B9" s="3">
        <v>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40</v>
      </c>
      <c r="B10" s="3">
        <v>20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90</v>
      </c>
      <c r="B11" s="3">
        <v>20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1F6A4-7395-D742-B12A-DB33E9D92D43}">
  <dimension ref="A2:AR27"/>
  <sheetViews>
    <sheetView showGridLines="0" topLeftCell="AA1" zoomScale="140" zoomScaleNormal="140" workbookViewId="0">
      <selection activeCell="AA8" sqref="A8:XFD12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176</v>
      </c>
    </row>
    <row r="4" spans="1:44" x14ac:dyDescent="0.2">
      <c r="A4" s="49" t="s">
        <v>153</v>
      </c>
      <c r="B4" s="49"/>
      <c r="D4" s="49" t="s">
        <v>154</v>
      </c>
      <c r="E4" s="49"/>
      <c r="G4" s="49" t="s">
        <v>155</v>
      </c>
      <c r="H4" s="49"/>
      <c r="J4" s="49" t="s">
        <v>156</v>
      </c>
      <c r="K4" s="49"/>
      <c r="M4" s="49" t="s">
        <v>157</v>
      </c>
      <c r="N4" s="49"/>
      <c r="P4" s="49" t="s">
        <v>158</v>
      </c>
      <c r="Q4" s="49"/>
      <c r="R4" s="1"/>
      <c r="S4" s="49" t="s">
        <v>159</v>
      </c>
      <c r="T4" s="49"/>
      <c r="U4" s="1"/>
      <c r="V4" s="49" t="s">
        <v>160</v>
      </c>
      <c r="W4" s="49"/>
      <c r="X4" s="1"/>
      <c r="Y4" s="49" t="s">
        <v>161</v>
      </c>
      <c r="Z4" s="49"/>
      <c r="AA4" s="1"/>
      <c r="AB4" s="49" t="s">
        <v>162</v>
      </c>
      <c r="AC4" s="49"/>
      <c r="AE4" s="49" t="s">
        <v>163</v>
      </c>
      <c r="AF4" s="49"/>
      <c r="AG4" s="1"/>
      <c r="AH4" s="49" t="s">
        <v>164</v>
      </c>
      <c r="AI4" s="49"/>
      <c r="AJ4" s="1"/>
      <c r="AK4" s="49" t="s">
        <v>165</v>
      </c>
      <c r="AL4" s="49"/>
      <c r="AM4" s="1"/>
      <c r="AN4" s="49" t="s">
        <v>166</v>
      </c>
      <c r="AO4" s="49"/>
      <c r="AP4" s="1"/>
      <c r="AQ4" s="49" t="s">
        <v>167</v>
      </c>
      <c r="AR4" s="49"/>
    </row>
    <row r="5" spans="1:44" x14ac:dyDescent="0.2">
      <c r="A5" s="43" t="s">
        <v>126</v>
      </c>
      <c r="B5" s="44">
        <v>1</v>
      </c>
      <c r="D5" s="43" t="s">
        <v>126</v>
      </c>
      <c r="E5" s="44">
        <v>2</v>
      </c>
      <c r="G5" s="43" t="s">
        <v>126</v>
      </c>
      <c r="H5" s="44">
        <v>3</v>
      </c>
      <c r="J5" s="43" t="s">
        <v>126</v>
      </c>
      <c r="K5" s="44">
        <v>4</v>
      </c>
      <c r="M5" s="43" t="s">
        <v>126</v>
      </c>
      <c r="N5" s="44">
        <v>5</v>
      </c>
      <c r="P5" s="43" t="s">
        <v>126</v>
      </c>
      <c r="Q5" s="44">
        <v>6</v>
      </c>
      <c r="R5" s="1"/>
      <c r="S5" s="43" t="s">
        <v>126</v>
      </c>
      <c r="T5" s="44">
        <v>7</v>
      </c>
      <c r="U5" s="1"/>
      <c r="V5" s="43" t="s">
        <v>126</v>
      </c>
      <c r="W5" s="44">
        <v>8</v>
      </c>
      <c r="X5" s="1"/>
      <c r="Y5" s="43" t="s">
        <v>126</v>
      </c>
      <c r="Z5" s="44">
        <v>9</v>
      </c>
      <c r="AA5" s="1"/>
      <c r="AB5" s="43" t="s">
        <v>126</v>
      </c>
      <c r="AC5" s="44">
        <v>10</v>
      </c>
      <c r="AE5" s="43" t="s">
        <v>126</v>
      </c>
      <c r="AF5" s="44">
        <v>11</v>
      </c>
      <c r="AG5" s="1"/>
      <c r="AH5" s="43" t="s">
        <v>126</v>
      </c>
      <c r="AI5" s="44">
        <v>12</v>
      </c>
      <c r="AJ5" s="1"/>
      <c r="AK5" s="43" t="s">
        <v>126</v>
      </c>
      <c r="AL5" s="44">
        <v>13</v>
      </c>
      <c r="AM5" s="1"/>
      <c r="AN5" s="43" t="s">
        <v>126</v>
      </c>
      <c r="AO5" s="44">
        <v>14</v>
      </c>
      <c r="AP5" s="1"/>
      <c r="AQ5" s="43" t="s">
        <v>126</v>
      </c>
      <c r="AR5" s="44">
        <v>15</v>
      </c>
    </row>
    <row r="6" spans="1:44" x14ac:dyDescent="0.2">
      <c r="A6" s="52" t="str">
        <f>_xlfn.XLOOKUP(B5,mat!$A:$A, mat!$B:$B,"") &amp; ""</f>
        <v>soil</v>
      </c>
      <c r="B6" s="53"/>
      <c r="D6" s="52" t="str">
        <f>_xlfn.XLOOKUP(E5,mat!$A:$A, mat!$B:$B,"") &amp; ""</f>
        <v/>
      </c>
      <c r="E6" s="53"/>
      <c r="G6" s="52" t="str">
        <f>_xlfn.XLOOKUP(H5,mat!$A:$A, mat!$B:$B,"") &amp; ""</f>
        <v/>
      </c>
      <c r="H6" s="53"/>
      <c r="J6" s="52" t="str">
        <f>_xlfn.XLOOKUP(K5,mat!$A:$A, mat!$B:$B,"") &amp; ""</f>
        <v/>
      </c>
      <c r="K6" s="53"/>
      <c r="M6" s="52" t="str">
        <f>_xlfn.XLOOKUP(N5,mat!$A:$A, mat!$B:$B,"") &amp; ""</f>
        <v/>
      </c>
      <c r="N6" s="53"/>
      <c r="P6" s="52" t="str">
        <f>_xlfn.XLOOKUP(Q5,mat!$A:$A, mat!$B:$B,"") &amp; ""</f>
        <v/>
      </c>
      <c r="Q6" s="53"/>
      <c r="R6" s="1"/>
      <c r="S6" s="52" t="str">
        <f>_xlfn.XLOOKUP(T5,mat!$A:$A, mat!$B:$B,"") &amp; ""</f>
        <v/>
      </c>
      <c r="T6" s="53"/>
      <c r="U6" s="1"/>
      <c r="V6" s="52" t="str">
        <f>_xlfn.XLOOKUP(W5,mat!$A:$A, mat!$B:$B,"") &amp; ""</f>
        <v/>
      </c>
      <c r="W6" s="53"/>
      <c r="X6" s="1"/>
      <c r="Y6" s="52" t="str">
        <f>_xlfn.XLOOKUP(Z5,mat!$A:$A, mat!$B:$B,"") &amp; ""</f>
        <v/>
      </c>
      <c r="Z6" s="53"/>
      <c r="AA6" s="1"/>
      <c r="AB6" s="52" t="str">
        <f>_xlfn.XLOOKUP(AC5,mat!$A:$A, mat!$B:$B,"") &amp; ""</f>
        <v/>
      </c>
      <c r="AC6" s="53"/>
      <c r="AE6" s="52" t="str">
        <f>_xlfn.XLOOKUP(AF5,mat!$A:$A, mat!$B:$B,"") &amp; ""</f>
        <v/>
      </c>
      <c r="AF6" s="53"/>
      <c r="AG6" s="1"/>
      <c r="AH6" s="52" t="str">
        <f>_xlfn.XLOOKUP(AI5,mat!$A:$A, mat!$B:$B,"") &amp; ""</f>
        <v/>
      </c>
      <c r="AI6" s="53"/>
      <c r="AJ6" s="1"/>
      <c r="AK6" s="52" t="str">
        <f>_xlfn.XLOOKUP(AL5,mat!$A:$A, mat!$B:$B,"") &amp; ""</f>
        <v/>
      </c>
      <c r="AL6" s="53"/>
      <c r="AM6" s="1"/>
      <c r="AN6" s="52" t="str">
        <f>_xlfn.XLOOKUP(AO5,mat!$A:$A, mat!$B:$B,"") &amp; ""</f>
        <v/>
      </c>
      <c r="AO6" s="53"/>
      <c r="AP6" s="1"/>
      <c r="AQ6" s="52" t="str">
        <f>_xlfn.XLOOKUP(AR5,mat!$A:$A, mat!$B:$B,"") &amp; ""</f>
        <v/>
      </c>
      <c r="AR6" s="53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N6:AO6"/>
    <mergeCell ref="AQ6:AR6"/>
    <mergeCell ref="V6:W6"/>
    <mergeCell ref="Y6:Z6"/>
    <mergeCell ref="AB6:AC6"/>
    <mergeCell ref="AE6:AF6"/>
    <mergeCell ref="AH6:AI6"/>
    <mergeCell ref="AK6:AL6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P4:Q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4" t="s">
        <v>84</v>
      </c>
      <c r="B2" s="54"/>
      <c r="D2" s="55" t="s">
        <v>82</v>
      </c>
      <c r="E2" s="55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J21" sqref="J2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20</v>
      </c>
      <c r="C3" s="3">
        <v>40</v>
      </c>
      <c r="D3" s="3" t="s">
        <v>26</v>
      </c>
      <c r="E3" s="3">
        <v>-10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1">
      <formula>OR($D3="Intercept", $D3="Radius")</formula>
    </cfRule>
  </conditionalFormatting>
  <conditionalFormatting sqref="F3:G42">
    <cfRule type="expression" dxfId="1" priority="3">
      <formula>OR($D3="Depth",$D3="Radius")</formula>
    </cfRule>
  </conditionalFormatting>
  <conditionalFormatting sqref="H3:H42">
    <cfRule type="expression" dxfId="0" priority="2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6" t="s">
        <v>127</v>
      </c>
      <c r="C2" s="56"/>
      <c r="D2" s="56"/>
      <c r="F2" s="56" t="s">
        <v>128</v>
      </c>
      <c r="G2" s="56"/>
      <c r="H2" s="56"/>
      <c r="J2" s="56" t="s">
        <v>129</v>
      </c>
      <c r="K2" s="56"/>
      <c r="L2" s="56"/>
      <c r="N2" s="56" t="s">
        <v>130</v>
      </c>
      <c r="O2" s="56"/>
      <c r="P2" s="56"/>
      <c r="R2" s="56" t="s">
        <v>131</v>
      </c>
      <c r="S2" s="56"/>
      <c r="T2" s="56"/>
      <c r="V2" s="56" t="s">
        <v>132</v>
      </c>
      <c r="W2" s="56"/>
      <c r="X2" s="56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7" t="s">
        <v>145</v>
      </c>
      <c r="C2" s="57"/>
      <c r="D2" s="57"/>
      <c r="F2" s="57" t="s">
        <v>146</v>
      </c>
      <c r="G2" s="57"/>
      <c r="H2" s="57"/>
      <c r="J2" s="57" t="s">
        <v>147</v>
      </c>
      <c r="K2" s="57"/>
      <c r="L2" s="57"/>
      <c r="N2" s="57" t="s">
        <v>148</v>
      </c>
      <c r="O2" s="57"/>
      <c r="P2" s="57"/>
      <c r="R2" s="57" t="s">
        <v>149</v>
      </c>
      <c r="S2" s="57"/>
      <c r="T2" s="57"/>
      <c r="V2" s="57" t="s">
        <v>150</v>
      </c>
      <c r="W2" s="57"/>
      <c r="X2" s="57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L25" sqref="L25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103</v>
      </c>
      <c r="C2" s="12" t="s">
        <v>104</v>
      </c>
      <c r="D2" s="12" t="s">
        <v>105</v>
      </c>
      <c r="E2" s="12" t="s">
        <v>106</v>
      </c>
      <c r="F2" s="32" t="s">
        <v>108</v>
      </c>
      <c r="G2" s="33" t="s">
        <v>113</v>
      </c>
      <c r="H2" s="32" t="s">
        <v>111</v>
      </c>
      <c r="I2" s="32" t="s">
        <v>112</v>
      </c>
      <c r="J2" s="33" t="s">
        <v>101</v>
      </c>
      <c r="K2" s="33" t="s">
        <v>107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4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4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4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M19" s="31"/>
      <c r="N19" s="9" t="s">
        <v>110</v>
      </c>
    </row>
    <row r="20" spans="1:14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M20" s="34"/>
      <c r="N20" s="9" t="s">
        <v>109</v>
      </c>
    </row>
    <row r="21" spans="1:14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4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4" x14ac:dyDescent="0.2">
      <c r="H24" s="9"/>
      <c r="I24" s="9"/>
    </row>
    <row r="25" spans="1:14" x14ac:dyDescent="0.2">
      <c r="H25" s="9"/>
      <c r="I25" s="9"/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542BD7-5686-4248-AC02-D49DB39A8FC0}">
  <dimension ref="A2:P25"/>
  <sheetViews>
    <sheetView showGridLines="0" tabSelected="1" zoomScale="140" zoomScaleNormal="140" workbookViewId="0">
      <selection activeCell="G4" sqref="G4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13" width="10.83203125" style="1"/>
  </cols>
  <sheetData>
    <row r="2" spans="1:13" x14ac:dyDescent="0.2">
      <c r="A2" s="12" t="s">
        <v>25</v>
      </c>
      <c r="B2" s="12" t="s">
        <v>168</v>
      </c>
      <c r="C2" s="12" t="s">
        <v>103</v>
      </c>
      <c r="D2" s="12" t="s">
        <v>104</v>
      </c>
      <c r="E2" s="12" t="s">
        <v>105</v>
      </c>
      <c r="F2" s="12" t="s">
        <v>106</v>
      </c>
      <c r="G2" s="45" t="s">
        <v>169</v>
      </c>
      <c r="H2" s="32" t="s">
        <v>170</v>
      </c>
      <c r="I2" s="32" t="s">
        <v>171</v>
      </c>
      <c r="J2" s="32" t="s">
        <v>172</v>
      </c>
      <c r="K2" s="33" t="s">
        <v>101</v>
      </c>
      <c r="L2" s="33" t="s">
        <v>173</v>
      </c>
      <c r="M2" s="33" t="s">
        <v>107</v>
      </c>
    </row>
    <row r="3" spans="1:13" x14ac:dyDescent="0.2">
      <c r="A3" s="3">
        <v>1</v>
      </c>
      <c r="B3" s="3" t="s">
        <v>178</v>
      </c>
      <c r="C3" s="3">
        <v>10</v>
      </c>
      <c r="D3" s="3">
        <v>5</v>
      </c>
      <c r="E3" s="3">
        <v>10</v>
      </c>
      <c r="F3" s="3">
        <v>-10</v>
      </c>
      <c r="G3" s="3"/>
      <c r="H3" s="3"/>
      <c r="I3" s="3">
        <v>3</v>
      </c>
      <c r="J3" s="3">
        <v>10</v>
      </c>
      <c r="K3" s="3"/>
      <c r="L3" s="3"/>
      <c r="M3" s="3"/>
    </row>
    <row r="4" spans="1:13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</row>
    <row r="5" spans="1:13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</row>
    <row r="6" spans="1:13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</row>
    <row r="7" spans="1:13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</row>
    <row r="8" spans="1:13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</row>
    <row r="9" spans="1:13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</row>
    <row r="10" spans="1:13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</row>
    <row r="11" spans="1:13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</row>
    <row r="12" spans="1:13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</row>
    <row r="13" spans="1:13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</row>
    <row r="14" spans="1:13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</row>
    <row r="15" spans="1:13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</row>
    <row r="16" spans="1:13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</row>
    <row r="17" spans="1:16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</row>
    <row r="18" spans="1:16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</row>
    <row r="19" spans="1:16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O19" s="46"/>
      <c r="P19" t="s">
        <v>174</v>
      </c>
    </row>
    <row r="20" spans="1:16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O20" s="31"/>
      <c r="P20" s="9" t="s">
        <v>175</v>
      </c>
    </row>
    <row r="21" spans="1:16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O21" s="34"/>
      <c r="P21" s="9" t="s">
        <v>109</v>
      </c>
    </row>
    <row r="22" spans="1:16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</row>
    <row r="24" spans="1:16" x14ac:dyDescent="0.2">
      <c r="I24" s="9"/>
      <c r="J24" s="9"/>
    </row>
    <row r="25" spans="1:16" x14ac:dyDescent="0.2">
      <c r="I25" s="9"/>
      <c r="J25" s="9"/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8" t="s">
        <v>138</v>
      </c>
      <c r="C2" s="58"/>
      <c r="E2" s="54" t="s">
        <v>133</v>
      </c>
      <c r="F2" s="54"/>
      <c r="H2" s="54" t="s">
        <v>134</v>
      </c>
      <c r="I2" s="54"/>
      <c r="K2" s="54" t="s">
        <v>135</v>
      </c>
      <c r="L2" s="54"/>
      <c r="N2" s="54" t="s">
        <v>136</v>
      </c>
      <c r="O2" s="54"/>
      <c r="Q2" s="54" t="s">
        <v>137</v>
      </c>
      <c r="R2" s="54"/>
    </row>
    <row r="3" spans="2:18" x14ac:dyDescent="0.2">
      <c r="B3" s="58"/>
      <c r="C3" s="58"/>
      <c r="E3" s="37" t="s">
        <v>95</v>
      </c>
      <c r="F3" s="38"/>
      <c r="H3" s="37" t="s">
        <v>95</v>
      </c>
      <c r="I3" s="38"/>
      <c r="K3" s="37" t="s">
        <v>95</v>
      </c>
      <c r="L3" s="38"/>
      <c r="N3" s="37" t="s">
        <v>95</v>
      </c>
      <c r="O3" s="38"/>
      <c r="Q3" s="37" t="s">
        <v>95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9" t="s">
        <v>140</v>
      </c>
      <c r="C2" s="59"/>
      <c r="E2" s="55" t="s">
        <v>139</v>
      </c>
      <c r="F2" s="55"/>
      <c r="H2" s="55" t="s">
        <v>141</v>
      </c>
      <c r="I2" s="55"/>
      <c r="K2" s="55" t="s">
        <v>142</v>
      </c>
      <c r="L2" s="55"/>
      <c r="N2" s="55" t="s">
        <v>143</v>
      </c>
      <c r="O2" s="55"/>
      <c r="Q2" s="55" t="s">
        <v>144</v>
      </c>
      <c r="R2" s="55"/>
    </row>
    <row r="3" spans="2:18" x14ac:dyDescent="0.2">
      <c r="B3" s="59"/>
      <c r="C3" s="59"/>
      <c r="E3" s="39" t="s">
        <v>95</v>
      </c>
      <c r="F3" s="40"/>
      <c r="H3" s="39" t="s">
        <v>95</v>
      </c>
      <c r="I3" s="40"/>
      <c r="K3" s="39" t="s">
        <v>95</v>
      </c>
      <c r="L3" s="40"/>
      <c r="N3" s="39" t="s">
        <v>95</v>
      </c>
      <c r="O3" s="40"/>
      <c r="Q3" s="39" t="s">
        <v>95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6</vt:i4>
      </vt:variant>
    </vt:vector>
  </HeadingPairs>
  <TitlesOfParts>
    <vt:vector size="20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2026-03-21T12:58:00Z</dcterms:modified>
</cp:coreProperties>
</file>