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E12967D2-A998-D342-B5ED-43CABE326A3A}" xr6:coauthVersionLast="47" xr6:coauthVersionMax="47" xr10:uidLastSave="{00000000-0000-0000-0000-000000000000}"/>
  <bookViews>
    <workbookView xWindow="15680" yWindow="4780" windowWidth="46940" windowHeight="184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piles" sheetId="11" r:id="rId11"/>
    <sheet name="lloads" sheetId="12" r:id="rId12"/>
    <sheet name="seep bc" sheetId="13" r:id="rId13"/>
    <sheet name="seep bc (2)" sheetId="14" r:id="rId14"/>
    <sheet name="tseep" sheetId="15" r:id="rId15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<sst xmlns="http://schemas.openxmlformats.org/spreadsheetml/2006/main" count="602" uniqueCount="319">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</sst>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217714</xdr:colOff>
      <xdr:row>1</xdr:row>
      <xdr:rowOff>54430</xdr:rowOff>
    </xdr:from>
    <xdr:to>
      <xdr:col>25</xdr:col>
      <xdr:colOff>444500</xdr:colOff>
      <xdr:row>21</xdr:row>
      <xdr:rowOff>90714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6455571" y="254001"/>
          <a:ext cx="3855358" cy="4027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soii-reinforcement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 (FEM only)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 (FEM only)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 (FEM only)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26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Imperial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62.4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37</v>
      </c>
      <c r="G17" t="s">
        <v>38</v>
      </c>
    </row>
    <row r="18" spans="2:7" x14ac:dyDescent="0.2">
      <c r="C18" s="14" t="s">
        <v>39</v>
      </c>
      <c r="F18" s="1" t="s">
        <v>40</v>
      </c>
      <c r="G18" t="s">
        <v>41</v>
      </c>
      <c r="D18"/>
    </row>
    <row r="19" spans="2:7" x14ac:dyDescent="0.2">
      <c r="C19" s="14" t="s">
        <v>42</v>
      </c>
      <c r="F19" s="1" t="s">
        <v>43</v>
      </c>
      <c r="G19" s="9" t="s">
        <v>44</v>
      </c>
      <c r="D19"/>
    </row>
    <row r="20" spans="2:7" x14ac:dyDescent="0.2">
      <c r="C20" s="14" t="s">
        <v>312</v>
      </c>
      <c r="F20" s="1" t="s">
        <v>46</v>
      </c>
      <c r="G20" s="9" t="s">
        <v>47</v>
      </c>
      <c r="D20"/>
    </row>
    <row r="21" spans="2:7" x14ac:dyDescent="0.2">
      <c r="C21" s="14" t="s">
        <v>45</v>
      </c>
      <c r="F21" s="1" t="s">
        <v>49</v>
      </c>
      <c r="G21" t="s">
        <v>50</v>
      </c>
      <c r="D21"/>
    </row>
    <row r="22" spans="2:7" x14ac:dyDescent="0.2">
      <c r="C22" s="14" t="s">
        <v>48</v>
      </c>
      <c r="F22" s="1"/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soil</t>
        </is>
      </c>
      <c r="C11" s="3">
        <v>120.0</v>
      </c>
      <c r="D11" s="3"/>
      <c r="E11" s="3" t="inlineStr">
        <is>
          <t>mc</t>
        </is>
      </c>
      <c r="F11" s="3">
        <v>200.0</v>
      </c>
      <c r="G11" s="3">
        <v>20.0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2000000.0</v>
      </c>
      <c r="N11" s="3">
        <v>0.3</v>
      </c>
      <c r="O11" s="3" t="inlineStr">
        <is>
          <t>none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>
        <v>0.5</v>
      </c>
      <c r="AP11" s="3"/>
      <c r="AQ11" s="3"/>
    </row>
    <row r="12" spans="1:43" x14ac:dyDescent="0.2">
      <c r="A12" s="3">
        <v>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18"/>
      <c r="AN12" s="19"/>
      <c r="AO12" s="19"/>
      <c r="AP12" s="19"/>
      <c r="AQ12" s="19"/>
    </row>
    <row r="13" spans="1:43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4" priority="6">
      <formula>$E11="hb"</formula>
    </cfRule>
    <cfRule type="expression" dxfId="33" priority="7">
      <formula>$E11="pow"</formula>
    </cfRule>
  </conditionalFormatting>
  <conditionalFormatting sqref="F11:L52 O11:R52">
    <cfRule type="expression" dxfId="32" priority="19">
      <formula>$E11="elastic"</formula>
    </cfRule>
  </conditionalFormatting>
  <conditionalFormatting sqref="G11:G52">
    <cfRule type="expression" dxfId="31" priority="8">
      <formula>$E11="cp"</formula>
    </cfRule>
  </conditionalFormatting>
  <conditionalFormatting sqref="H11:I52">
    <cfRule type="expression" dxfId="30" priority="9">
      <formula>$E11="mc"</formula>
    </cfRule>
  </conditionalFormatting>
  <conditionalFormatting sqref="J11:K52">
    <cfRule type="expression" dxfId="29" priority="10">
      <formula>$E11="cp"</formula>
    </cfRule>
  </conditionalFormatting>
  <conditionalFormatting sqref="P11:P52">
    <cfRule type="expression" dxfId="28" priority="13">
      <formula>AND($O11&lt;&gt;"",$O11&lt;&gt;"ru")</formula>
    </cfRule>
  </conditionalFormatting>
  <conditionalFormatting sqref="Q11:R52">
    <cfRule type="expression" dxfId="27" priority="23">
      <formula>$E11="cp"</formula>
    </cfRule>
    <cfRule type="expression" dxfId="26" priority="24">
      <formula>AND($O11&lt;&gt;"",$O11&lt;&gt;"piezo",$O11&lt;&gt;"seep")</formula>
    </cfRule>
  </conditionalFormatting>
  <conditionalFormatting sqref="S11:V52">
    <cfRule type="expression" dxfId="25" priority="11">
      <formula>AND($E11&lt;&gt;"",$E11&lt;&gt;"pow")</formula>
    </cfRule>
  </conditionalFormatting>
  <conditionalFormatting sqref="W11:Z52">
    <cfRule type="expression" dxfId="24" priority="12">
      <formula>AND($E11&lt;&gt;"",$E11&lt;&gt;"hb")</formula>
    </cfRule>
  </conditionalFormatting>
  <conditionalFormatting sqref="AB11:AF52">
    <cfRule type="expression" dxfId="23" priority="21">
      <formula>$E11="elastic"</formula>
    </cfRule>
  </conditionalFormatting>
  <conditionalFormatting sqref="AC11:AC52">
    <cfRule type="expression" dxfId="22" priority="14">
      <formula>$E11="cp"</formula>
    </cfRule>
  </conditionalFormatting>
  <conditionalFormatting sqref="AD11:AD52">
    <cfRule type="expression" dxfId="21" priority="15">
      <formula>$E11="mc"</formula>
    </cfRule>
  </conditionalFormatting>
  <conditionalFormatting sqref="AE11:AF52">
    <cfRule type="expression" dxfId="20" priority="16">
      <formula>$E11="cp"</formula>
    </cfRule>
  </conditionalFormatting>
  <conditionalFormatting sqref="AK11:AL52">
    <cfRule type="expression" dxfId="19" priority="17">
      <formula>OR($AJ11="vg",$AJ11="gard")</formula>
    </cfRule>
  </conditionalFormatting>
  <conditionalFormatting sqref="AM11:AO52">
    <cfRule type="expression" dxfId="18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>
        <v>-10.0</v>
      </c>
      <c r="D2" s="24" t="s">
        <v>146</v>
      </c>
      <c r="N2" s="24" t="s">
        <v>147</v>
      </c>
    </row>
    <row r="4" spans="1:44" x14ac:dyDescent="0.2">
      <c r="A4" s="55" t="inlineStr">
        <is>
          <t>Profile Line #1</t>
        </is>
      </c>
      <c r="B4" s="52"/>
      <c r="D4" s="55" t="s">
        <v>149</v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>soil</v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>
        <v>-30.0</v>
      </c>
      <c r="B9" s="3">
        <v>0.0</v>
      </c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>
        <v>0.0</v>
      </c>
      <c r="B10" s="3">
        <v>0.0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20.0</v>
      </c>
      <c r="B11" s="3">
        <v>20.0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>
        <v>80.0</v>
      </c>
      <c r="B12" s="3">
        <v>20.0</v>
      </c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0" sqref="A10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s">
        <v>169</v>
      </c>
      <c r="B4" s="52"/>
      <c r="D4" s="55" t="s">
        <v>170</v>
      </c>
      <c r="E4" s="52"/>
      <c r="G4" s="55" t="s">
        <v>171</v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s">
        <v>185</v>
      </c>
      <c r="D5" s="38" t="s">
        <v>184</v>
      </c>
      <c r="E5" s="39" t="s">
        <v>185</v>
      </c>
      <c r="G5" s="38" t="s">
        <v>184</v>
      </c>
      <c r="H5" s="39" t="s">
        <v>185</v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>soil</v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7" priority="1">
      <formula>AND($B$5&lt;&gt;"",$B$5&lt;&gt;"material")</formula>
    </cfRule>
  </conditionalFormatting>
  <conditionalFormatting sqref="E6 D7:E7">
    <cfRule type="expression" dxfId="16" priority="2">
      <formula>AND($E$5&lt;&gt;"",$E$5&lt;&gt;"material")</formula>
    </cfRule>
  </conditionalFormatting>
  <conditionalFormatting sqref="H6 G7:H7">
    <cfRule type="expression" dxfId="15" priority="3">
      <formula>AND($H$5&lt;&gt;"",$H$5&lt;&gt;"material")</formula>
    </cfRule>
  </conditionalFormatting>
  <conditionalFormatting sqref="K6 J7:K7">
    <cfRule type="expression" dxfId="14" priority="4">
      <formula>AND($K$5&lt;&gt;"",$K$5&lt;&gt;"material")</formula>
    </cfRule>
  </conditionalFormatting>
  <conditionalFormatting sqref="N6 M7:N7">
    <cfRule type="expression" dxfId="13" priority="5">
      <formula>AND($N$5&lt;&gt;"",$N$5&lt;&gt;"material")</formula>
    </cfRule>
  </conditionalFormatting>
  <conditionalFormatting sqref="Q6 P7:Q7">
    <cfRule type="expression" dxfId="12" priority="6">
      <formula>AND($Q$5&lt;&gt;"",$Q$5&lt;&gt;"material")</formula>
    </cfRule>
  </conditionalFormatting>
  <conditionalFormatting sqref="T6 S7:T7">
    <cfRule type="expression" dxfId="11" priority="7">
      <formula>AND($T$5&lt;&gt;"",$T$5&lt;&gt;"material")</formula>
    </cfRule>
  </conditionalFormatting>
  <conditionalFormatting sqref="W6 V7:W7">
    <cfRule type="expression" dxfId="10" priority="8">
      <formula>AND($W$5&lt;&gt;"",$W$5&lt;&gt;"material")</formula>
    </cfRule>
  </conditionalFormatting>
  <conditionalFormatting sqref="Z6 Y7:Z7">
    <cfRule type="expression" dxfId="9" priority="9">
      <formula>AND($Z$5&lt;&gt;"",$Z$5&lt;&gt;"material")</formula>
    </cfRule>
  </conditionalFormatting>
  <conditionalFormatting sqref="AC6 AB7:AC7">
    <cfRule type="expression" dxfId="8" priority="10">
      <formula>AND($AC$5&lt;&gt;"",$AC$5&lt;&gt;"material")</formula>
    </cfRule>
  </conditionalFormatting>
  <conditionalFormatting sqref="AF6 AE7:AF7">
    <cfRule type="expression" dxfId="7" priority="11">
      <formula>AND($AF$5&lt;&gt;"",$AF$5&lt;&gt;"material")</formula>
    </cfRule>
  </conditionalFormatting>
  <conditionalFormatting sqref="AI6 AH7:AI7">
    <cfRule type="expression" dxfId="6" priority="12">
      <formula>AND($AI$5&lt;&gt;"",$AI$5&lt;&gt;"material")</formula>
    </cfRule>
  </conditionalFormatting>
  <conditionalFormatting sqref="AL6 AK7:AL7">
    <cfRule type="expression" dxfId="5" priority="13">
      <formula>AND($AL$5&lt;&gt;"",$AL$5&lt;&gt;"material")</formula>
    </cfRule>
  </conditionalFormatting>
  <conditionalFormatting sqref="AO6 AN7:AO7">
    <cfRule type="expression" dxfId="4" priority="14">
      <formula>AND($AO$5&lt;&gt;"",$AO$5&lt;&gt;"material")</formula>
    </cfRule>
  </conditionalFormatting>
  <conditionalFormatting sqref="AR6 AQ7:AR7">
    <cfRule type="expression" dxfId="3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00000000-0002-0000-0300-000000000000}">
      <formula1>"material,ssr reduce,ssr hold,ssr elastic,refine"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>
        <v>20.0</v>
      </c>
      <c r="C3" s="3">
        <v>40.0</v>
      </c>
      <c r="D3" s="3" t="inlineStr">
        <is>
          <t>Depth</t>
        </is>
      </c>
      <c r="E3" s="3">
        <v>-10.0</v>
      </c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D25"/>
  <sheetViews>
    <sheetView showGridLines="0" zoomScale="140" zoomScaleNormal="140" workbookViewId="0">
      <selection activeCell="B25" sqref="B25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0" width="10.83203125" style="1" customWidth="1"/>
    <col min="21" max="21" width="4.33203125" customWidth="1"/>
  </cols>
  <sheetData>
    <row r="2" spans="1:30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AB2" t="s">
        <v>257</v>
      </c>
      <c r="AC2" t="s">
        <v>258</v>
      </c>
      <c r="AD2" t="s">
        <v>259</v>
      </c>
    </row>
    <row r="3" spans="1:30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IF($G3="","",IFERROR(VLOOKUP($G3,$AB$8:$AD$11,2,0),""))</f>
        <v/>
      </c>
      <c r="I3" s="3" t="str">
        <f t="shared" ref="I3:I22" si="1">IF($G3="","",IFERROR(VLOOKUP($G3,$AB$8:$AD$11,3,0),""))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AB3" t="s">
        <v>260</v>
      </c>
      <c r="AC3" t="s">
        <v>261</v>
      </c>
      <c r="AD3" t="s">
        <v>262</v>
      </c>
    </row>
    <row r="4" spans="1:30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AB4" t="s">
        <v>263</v>
      </c>
    </row>
    <row r="5" spans="1:30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AB5" t="s">
        <v>264</v>
      </c>
    </row>
    <row r="6" spans="1:30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30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30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AB8" t="s">
        <v>257</v>
      </c>
      <c r="AC8" t="s">
        <v>258</v>
      </c>
      <c r="AD8" t="s">
        <v>259</v>
      </c>
    </row>
    <row r="9" spans="1:30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AB9" t="s">
        <v>260</v>
      </c>
      <c r="AC9" t="s">
        <v>261</v>
      </c>
      <c r="AD9" t="s">
        <v>262</v>
      </c>
    </row>
    <row r="10" spans="1:30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AB10" t="s">
        <v>263</v>
      </c>
      <c r="AC10" t="s">
        <v>261</v>
      </c>
      <c r="AD10" t="s">
        <v>259</v>
      </c>
    </row>
    <row r="11" spans="1:30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AB11" t="s">
        <v>264</v>
      </c>
      <c r="AC11" t="s">
        <v>261</v>
      </c>
      <c r="AD11" t="s">
        <v>259</v>
      </c>
    </row>
    <row r="12" spans="1:30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30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spans="1:30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30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1:30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3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3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3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3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 spans="1:23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3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3" x14ac:dyDescent="0.2">
      <c r="V23" s="42"/>
      <c r="W23" t="s">
        <v>91</v>
      </c>
    </row>
    <row r="24" spans="1:23" x14ac:dyDescent="0.2">
      <c r="K24" s="9"/>
      <c r="L24" s="9"/>
      <c r="V24" s="26"/>
      <c r="W24" s="9" t="s">
        <v>96</v>
      </c>
    </row>
    <row r="25" spans="1:23" x14ac:dyDescent="0.2">
      <c r="K25" s="9"/>
      <c r="L25" s="9"/>
      <c r="V25" s="29"/>
      <c r="W25" s="9" t="s">
        <v>103</v>
      </c>
    </row>
  </sheetData>
  <dataValidations count="3">
    <dataValidation type="list" allowBlank="1" showInputMessage="1" showErrorMessage="1" sqref="G3:G22" xr:uid="{00000000-0002-0000-0900-000000000000}">
      <formula1>$AB$2:$AB$5</formula1>
    </dataValidation>
    <dataValidation type="list" allowBlank="1" showInputMessage="1" showErrorMessage="1" sqref="H3:H22" xr:uid="{00000000-0002-0000-0900-000001000000}">
      <formula1>$AC$2:$AC$3</formula1>
    </dataValidation>
    <dataValidation type="list" allowBlank="1" showInputMessage="1" showErrorMessage="1" sqref="I3:I22" xr:uid="{00000000-0002-0000-0900-000002000000}">
      <formula1>$AD$2:$AD$3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 t="inlineStr">
        <is>
          <t>lower row</t>
        </is>
      </c>
      <c r="C3" s="3">
        <v>5.0</v>
      </c>
      <c r="D3" s="3">
        <v>5.0</v>
      </c>
      <c r="E3" s="3">
        <v>5.0</v>
      </c>
      <c r="F3" s="3">
        <v>-10.0</v>
      </c>
      <c r="G3" s="3"/>
      <c r="H3" s="3" t="inlineStr">
        <is>
          <t>Active</t>
        </is>
      </c>
      <c r="I3" s="3">
        <v>2.0</v>
      </c>
      <c r="J3" s="3">
        <v>6.0</v>
      </c>
      <c r="K3" s="3">
        <v>46000.0</v>
      </c>
      <c r="L3" s="3">
        <v>60000.0</v>
      </c>
      <c r="M3" s="3">
        <v>518400000.0</v>
      </c>
      <c r="N3" s="3"/>
      <c r="O3" s="3"/>
      <c r="P3" s="3" t="inlineStr">
        <is>
          <t>free</t>
        </is>
      </c>
      <c r="Q3" s="3" t="inlineStr">
        <is>
          <t>free</t>
        </is>
      </c>
      <c r="Z3" t="s">
        <v>315</v>
      </c>
      <c r="AA3" t="s">
        <v>262</v>
      </c>
    </row>
    <row r="4" spans="1:27" x14ac:dyDescent="0.2">
      <c r="A4" s="3">
        <v>2</v>
      </c>
      <c r="B4" s="3" t="inlineStr">
        <is>
          <t>upper row</t>
        </is>
      </c>
      <c r="C4" s="3">
        <v>10.0</v>
      </c>
      <c r="D4" s="3">
        <v>10.0</v>
      </c>
      <c r="E4" s="3">
        <v>10.0</v>
      </c>
      <c r="F4" s="3">
        <v>-10.0</v>
      </c>
      <c r="G4" s="3"/>
      <c r="H4" s="3" t="inlineStr">
        <is>
          <t>Active</t>
        </is>
      </c>
      <c r="I4" s="3">
        <v>2.0</v>
      </c>
      <c r="J4" s="3">
        <v>6.0</v>
      </c>
      <c r="K4" s="3">
        <v>46000.0</v>
      </c>
      <c r="L4" s="3">
        <v>60000.0</v>
      </c>
      <c r="M4" s="3">
        <v>518400000.0</v>
      </c>
      <c r="N4" s="3"/>
      <c r="O4" s="3"/>
      <c r="P4" s="3" t="inlineStr">
        <is>
          <t>free</t>
        </is>
      </c>
      <c r="Q4" s="3" t="inlineStr">
        <is>
          <t>free</t>
        </is>
      </c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s">
        <v>279</v>
      </c>
      <c r="F3" s="33"/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2026-09-07T22:01:36Z</dcterms:modified>
</cp:coreProperties>
</file>