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n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 t="n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 t="n">
        <v>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 t="n">
        <v>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 t="n">
        <v>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</row>
    <row r="17">
      <c r="B17" s="52" t="n"/>
      <c r="C17" s="14" t="inlineStr">
        <is>
          <t>Tension SRF (FEM):</t>
        </is>
      </c>
      <c r="D17" s="52" t="n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</row>
    <row r="22">
      <c r="C22" s="14" t="inlineStr">
        <is>
          <t>Side BC:</t>
        </is>
      </c>
      <c r="D22" s="52" t="n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7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 t="n">
        <v>1</v>
      </c>
      <c r="B11" s="3" t="inlineStr">
        <is>
          <t>shell</t>
        </is>
      </c>
      <c r="C11" s="3" t="n">
        <v>130</v>
      </c>
      <c r="D11" s="3" t="n"/>
      <c r="E11" s="3" t="inlineStr">
        <is>
          <t>mc</t>
        </is>
      </c>
      <c r="F11" s="3" t="n">
        <v>300</v>
      </c>
      <c r="G11" s="3" t="n">
        <v>37</v>
      </c>
      <c r="H11" s="3" t="n">
        <v>0</v>
      </c>
      <c r="I11" s="3" t="n">
        <v>0</v>
      </c>
      <c r="J11" s="3" t="n">
        <v>0</v>
      </c>
      <c r="K11" s="3" t="n">
        <v>0</v>
      </c>
      <c r="L11" s="3" t="n"/>
      <c r="M11" s="3" t="n">
        <v>0</v>
      </c>
      <c r="N11" s="3" t="n">
        <v>0</v>
      </c>
      <c r="O11" s="3" t="inlineStr">
        <is>
          <t>none</t>
        </is>
      </c>
      <c r="P11" s="3" t="n">
        <v>0</v>
      </c>
      <c r="Q11" s="3" t="n"/>
      <c r="R11" s="3" t="n"/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inlineStr">
        <is>
          <t>lf</t>
        </is>
      </c>
      <c r="AK11" s="3" t="n">
        <v>0</v>
      </c>
      <c r="AL11" s="3" t="n">
        <v>0</v>
      </c>
      <c r="AM11" s="3" t="n">
        <v>0</v>
      </c>
      <c r="AN11" s="3" t="n">
        <v>0</v>
      </c>
      <c r="AO11" s="3" t="n"/>
      <c r="AP11" s="3" t="n"/>
    </row>
    <row r="12">
      <c r="A12" s="3" t="n">
        <v>2</v>
      </c>
      <c r="B12" s="3" t="inlineStr">
        <is>
          <t>base</t>
        </is>
      </c>
      <c r="C12" s="3" t="n">
        <v>130</v>
      </c>
      <c r="D12" s="3" t="n"/>
      <c r="E12" s="3" t="inlineStr">
        <is>
          <t>mc</t>
        </is>
      </c>
      <c r="F12" s="3" t="n">
        <v>0</v>
      </c>
      <c r="G12" s="3" t="n">
        <v>37</v>
      </c>
      <c r="H12" s="3" t="n">
        <v>0</v>
      </c>
      <c r="I12" s="3" t="n">
        <v>0</v>
      </c>
      <c r="J12" s="3" t="n">
        <v>0</v>
      </c>
      <c r="K12" s="3" t="n">
        <v>0</v>
      </c>
      <c r="L12" s="3" t="n"/>
      <c r="M12" s="3" t="n">
        <v>0</v>
      </c>
      <c r="N12" s="3" t="n">
        <v>0</v>
      </c>
      <c r="O12" s="3" t="inlineStr">
        <is>
          <t>none</t>
        </is>
      </c>
      <c r="P12" s="3" t="n">
        <v>0</v>
      </c>
      <c r="Q12" s="3" t="n"/>
      <c r="R12" s="3" t="n"/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>
        <v>0</v>
      </c>
      <c r="AJ12" s="3" t="inlineStr">
        <is>
          <t>lf</t>
        </is>
      </c>
      <c r="AK12" s="3" t="n">
        <v>0</v>
      </c>
      <c r="AL12" s="3" t="n">
        <v>0</v>
      </c>
      <c r="AM12" s="18" t="n">
        <v>0</v>
      </c>
      <c r="AN12" s="19" t="n">
        <v>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-10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>
        <v>0</v>
      </c>
      <c r="B9" s="3" t="n">
        <v>0</v>
      </c>
      <c r="D9" s="3" t="n">
        <v>-30</v>
      </c>
      <c r="E9" s="3" t="n">
        <v>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>
        <v>30</v>
      </c>
      <c r="B10" s="3" t="n">
        <v>24</v>
      </c>
      <c r="D10" s="3" t="n">
        <v>2</v>
      </c>
      <c r="E10" s="3" t="n">
        <v>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>
        <v>32</v>
      </c>
      <c r="B11" s="3" t="n">
        <v>24</v>
      </c>
      <c r="D11" s="3" t="n">
        <v>32</v>
      </c>
      <c r="E11" s="3" t="n">
        <v>24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>
        <v>100</v>
      </c>
      <c r="E12" s="3" t="n">
        <v>24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>
        <v>0</v>
      </c>
      <c r="C3" s="3" t="n">
        <v>40</v>
      </c>
      <c r="D3" s="3" t="inlineStr">
        <is>
          <t>Depth</t>
        </is>
      </c>
      <c r="E3" s="3" t="n">
        <v>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>
        <v>15</v>
      </c>
      <c r="C4" s="3" t="n">
        <v>40</v>
      </c>
      <c r="D4" s="3" t="inlineStr">
        <is>
          <t>Depth</t>
        </is>
      </c>
      <c r="E4" s="3" t="n">
        <v>-10</v>
      </c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</row>
    <row r="13">
      <c r="J13" s="14" t="inlineStr">
        <is>
          <t>Center box X max:</t>
        </is>
      </c>
    </row>
    <row r="14">
      <c r="J14" s="14" t="inlineStr">
        <is>
          <t>Center box Y min:</t>
        </is>
      </c>
    </row>
    <row r="15">
      <c r="J15" s="14" t="inlineStr">
        <is>
          <t>Center box Y max:</t>
        </is>
      </c>
    </row>
    <row r="16">
      <c r="J16" s="14" t="inlineStr">
        <is>
          <t>Max tangent depth:</t>
        </is>
      </c>
      <c r="K16" s="52" t="n"/>
      <c r="L16" s="52" t="n"/>
      <c r="M16" s="52" t="n"/>
      <c r="N16" s="52" t="n"/>
    </row>
    <row r="17">
      <c r="J17" s="14" t="inlineStr">
        <is>
          <t>Min slip depth:</t>
        </is>
      </c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>
        <v>30</v>
      </c>
      <c r="C7" s="3" t="n">
        <v>24</v>
      </c>
      <c r="D7" s="3" t="n">
        <v>240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>
        <v>100</v>
      </c>
      <c r="C8" s="3" t="n">
        <v>24</v>
      </c>
      <c r="D8" s="3" t="n">
        <v>240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inlineStr">
        <is>
          <t>Line 1</t>
        </is>
      </c>
      <c r="C3" s="3" t="n">
        <v>0</v>
      </c>
      <c r="D3" s="3" t="n">
        <v>0</v>
      </c>
      <c r="E3" s="3" t="n">
        <v>20</v>
      </c>
      <c r="F3" s="3" t="n">
        <v>0</v>
      </c>
      <c r="G3" s="3" t="inlineStr">
        <is>
          <t>Geosynthetic</t>
        </is>
      </c>
      <c r="H3" s="3" t="str">
        <f>IF($G3="","",IFERROR(VLOOKUP($G3,$Z$8:$AB$11,2,0),""))</f>
        <v>Tangent</v>
      </c>
      <c r="I3" s="3" t="str">
        <f>IF($G3="","",IFERROR(VLOOKUP($G3,$Z$8:$AB$11,3,0),""))</f>
        <v>Active</v>
      </c>
      <c r="J3" s="3" t="n">
        <v>800</v>
      </c>
      <c r="K3" s="3" t="n">
        <v>4</v>
      </c>
      <c r="L3" s="3" t="n">
        <v>4</v>
      </c>
      <c r="M3" s="3" t="n">
        <v>0</v>
      </c>
      <c r="N3" s="3" t="n">
        <v>0</v>
      </c>
      <c r="O3" s="3" t="n">
        <v>1</v>
      </c>
      <c r="P3" s="3" t="n">
        <v>0</v>
      </c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inlineStr">
        <is>
          <t>Line 2</t>
        </is>
      </c>
      <c r="C4" s="3" t="n">
        <v>5</v>
      </c>
      <c r="D4" s="3" t="n">
        <v>4</v>
      </c>
      <c r="E4" s="3" t="n">
        <v>25</v>
      </c>
      <c r="F4" s="3" t="n">
        <v>4</v>
      </c>
      <c r="G4" s="3" t="inlineStr">
        <is>
          <t>Geosynthetic</t>
        </is>
      </c>
      <c r="H4" s="3" t="str">
        <f>IF($G4="","",IFERROR(VLOOKUP($G4,$Z$8:$AB$11,2,0),""))</f>
        <v>Tangent</v>
      </c>
      <c r="I4" s="3" t="str">
        <f>IF($G4="","",IFERROR(VLOOKUP($G4,$Z$8:$AB$11,3,0),""))</f>
        <v>Active</v>
      </c>
      <c r="J4" s="3" t="n">
        <v>800</v>
      </c>
      <c r="K4" s="3" t="n">
        <v>4</v>
      </c>
      <c r="L4" s="3" t="n">
        <v>4</v>
      </c>
      <c r="M4" s="3" t="n">
        <v>0</v>
      </c>
      <c r="N4" s="3" t="n">
        <v>0</v>
      </c>
      <c r="O4" s="3" t="n">
        <v>1</v>
      </c>
      <c r="P4" s="3" t="n">
        <v>0</v>
      </c>
      <c r="Q4" s="3" t="n"/>
      <c r="R4" s="3" t="n"/>
      <c r="Z4" t="inlineStr">
        <is>
          <t>Tieback</t>
        </is>
      </c>
    </row>
    <row r="5">
      <c r="A5" s="3" t="n">
        <v>3</v>
      </c>
      <c r="B5" s="3" t="inlineStr">
        <is>
          <t>Line 3</t>
        </is>
      </c>
      <c r="C5" s="3" t="n">
        <v>10</v>
      </c>
      <c r="D5" s="3" t="n">
        <v>8</v>
      </c>
      <c r="E5" s="3" t="n">
        <v>30</v>
      </c>
      <c r="F5" s="3" t="n">
        <v>8</v>
      </c>
      <c r="G5" s="3" t="inlineStr">
        <is>
          <t>Geosynthetic</t>
        </is>
      </c>
      <c r="H5" s="3" t="str">
        <f>IF($G5="","",IFERROR(VLOOKUP($G5,$Z$8:$AB$11,2,0),""))</f>
        <v>Tangent</v>
      </c>
      <c r="I5" s="3" t="str">
        <f>IF($G5="","",IFERROR(VLOOKUP($G5,$Z$8:$AB$11,3,0),""))</f>
        <v>Active</v>
      </c>
      <c r="J5" s="3" t="n">
        <v>800</v>
      </c>
      <c r="K5" s="3" t="n">
        <v>4</v>
      </c>
      <c r="L5" s="3" t="n">
        <v>4</v>
      </c>
      <c r="M5" s="3" t="n">
        <v>0</v>
      </c>
      <c r="N5" s="3" t="n">
        <v>0</v>
      </c>
      <c r="O5" s="3" t="n">
        <v>1</v>
      </c>
      <c r="P5" s="3" t="n">
        <v>0</v>
      </c>
      <c r="Q5" s="3" t="n"/>
      <c r="R5" s="3" t="n"/>
      <c r="Z5" t="inlineStr">
        <is>
          <t>Anchor</t>
        </is>
      </c>
    </row>
    <row r="6">
      <c r="A6" s="3" t="n">
        <v>4</v>
      </c>
      <c r="B6" s="3" t="inlineStr">
        <is>
          <t>Line 4</t>
        </is>
      </c>
      <c r="C6" s="3" t="n">
        <v>15</v>
      </c>
      <c r="D6" s="3" t="n">
        <v>12</v>
      </c>
      <c r="E6" s="3" t="n">
        <v>35</v>
      </c>
      <c r="F6" s="3" t="n">
        <v>12</v>
      </c>
      <c r="G6" s="3" t="inlineStr">
        <is>
          <t>Geosynthetic</t>
        </is>
      </c>
      <c r="H6" s="3" t="str">
        <f>IF($G6="","",IFERROR(VLOOKUP($G6,$Z$8:$AB$11,2,0),""))</f>
        <v>Tangent</v>
      </c>
      <c r="I6" s="3" t="str">
        <f>IF($G6="","",IFERROR(VLOOKUP($G6,$Z$8:$AB$11,3,0),""))</f>
        <v>Active</v>
      </c>
      <c r="J6" s="3" t="n">
        <v>800</v>
      </c>
      <c r="K6" s="3" t="n">
        <v>4</v>
      </c>
      <c r="L6" s="3" t="n">
        <v>4</v>
      </c>
      <c r="M6" s="3" t="n">
        <v>0</v>
      </c>
      <c r="N6" s="3" t="n">
        <v>0</v>
      </c>
      <c r="O6" s="3" t="n">
        <v>1</v>
      </c>
      <c r="P6" s="3" t="n">
        <v>0</v>
      </c>
      <c r="Q6" s="3" t="n"/>
      <c r="R6" s="3" t="n"/>
    </row>
    <row r="7">
      <c r="A7" s="3" t="n">
        <v>5</v>
      </c>
      <c r="B7" s="3" t="inlineStr">
        <is>
          <t>Line 5</t>
        </is>
      </c>
      <c r="C7" s="3" t="n">
        <v>20</v>
      </c>
      <c r="D7" s="3" t="n">
        <v>16</v>
      </c>
      <c r="E7" s="3" t="n">
        <v>40</v>
      </c>
      <c r="F7" s="3" t="n">
        <v>16</v>
      </c>
      <c r="G7" s="3" t="inlineStr">
        <is>
          <t>Geosynthetic</t>
        </is>
      </c>
      <c r="H7" s="3" t="str">
        <f>IF($G7="","",IFERROR(VLOOKUP($G7,$Z$8:$AB$11,2,0),""))</f>
        <v>Tangent</v>
      </c>
      <c r="I7" s="3" t="str">
        <f>IF($G7="","",IFERROR(VLOOKUP($G7,$Z$8:$AB$11,3,0),""))</f>
        <v>Active</v>
      </c>
      <c r="J7" s="3" t="n">
        <v>800</v>
      </c>
      <c r="K7" s="3" t="n">
        <v>4</v>
      </c>
      <c r="L7" s="3" t="n">
        <v>4</v>
      </c>
      <c r="M7" s="3" t="n">
        <v>0</v>
      </c>
      <c r="N7" s="3" t="n">
        <v>0</v>
      </c>
      <c r="O7" s="3" t="n">
        <v>1</v>
      </c>
      <c r="P7" s="3" t="n">
        <v>0</v>
      </c>
      <c r="Q7" s="3" t="n"/>
      <c r="R7" s="3" t="n"/>
    </row>
    <row r="8">
      <c r="A8" s="3" t="n">
        <v>6</v>
      </c>
      <c r="B8" s="3" t="inlineStr">
        <is>
          <t>Line 6</t>
        </is>
      </c>
      <c r="C8" s="3" t="n">
        <v>25</v>
      </c>
      <c r="D8" s="3" t="n">
        <v>20</v>
      </c>
      <c r="E8" s="3" t="n">
        <v>45</v>
      </c>
      <c r="F8" s="3" t="n">
        <v>20</v>
      </c>
      <c r="G8" s="3" t="inlineStr">
        <is>
          <t>Geosynthetic</t>
        </is>
      </c>
      <c r="H8" s="3" t="str">
        <f>IF($G8="","",IFERROR(VLOOKUP($G8,$Z$8:$AB$11,2,0),""))</f>
        <v>Tangent</v>
      </c>
      <c r="I8" s="3" t="str">
        <f>IF($G8="","",IFERROR(VLOOKUP($G8,$Z$8:$AB$11,3,0),""))</f>
        <v>Active</v>
      </c>
      <c r="J8" s="3" t="n">
        <v>800</v>
      </c>
      <c r="K8" s="3" t="n">
        <v>4</v>
      </c>
      <c r="L8" s="3" t="n">
        <v>4</v>
      </c>
      <c r="M8" s="3" t="n">
        <v>0</v>
      </c>
      <c r="N8" s="3" t="n">
        <v>0</v>
      </c>
      <c r="O8" s="3" t="n">
        <v>1</v>
      </c>
      <c r="P8" s="3" t="n">
        <v>0</v>
      </c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2026-08-14T15:24:58Z</dcterms:modified>
  <cp:lastModifiedBy>Norm Jones</cp:lastModifiedBy>
</cp:coreProperties>
</file>