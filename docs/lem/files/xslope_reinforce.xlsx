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96D385E8-F13F-8F45-A02D-F28142715816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<sst xmlns="http://schemas.openxmlformats.org/spreadsheetml/2006/main" count="597" uniqueCount="314">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</sst>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308429</xdr:colOff>
      <xdr:row>0</xdr:row>
      <xdr:rowOff>190499</xdr:rowOff>
    </xdr:from>
    <xdr:to>
      <xdr:col>20</xdr:col>
      <xdr:colOff>571501</xdr:colOff>
      <xdr:row>12</xdr:row>
      <xdr:rowOff>145143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3398500" y="190499"/>
          <a:ext cx="3156858" cy="234950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24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  <c r="C24" s="14" t="s">
        <v>55</v>
      </c>
      <c r="D24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311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3" xr:uid="{00000000-0002-0000-0000-000006000000}">
      <formula1>"auto,manual"</formula1>
    </dataValidation>
    <dataValidation type="list" allowBlank="1" sqref="D24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310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306</v>
      </c>
      <c r="AB10" s="46" t="s">
        <v>305</v>
      </c>
      <c r="AC10" s="47" t="s">
        <v>135</v>
      </c>
      <c r="AD10" s="46" t="s">
        <v>307</v>
      </c>
      <c r="AE10" s="46" t="s">
        <v>308</v>
      </c>
      <c r="AF10" s="47" t="s">
        <v>309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shell</t>
        </is>
      </c>
      <c r="C11" s="3">
        <v>130.0</v>
      </c>
      <c r="D11" s="3"/>
      <c r="E11" s="3" t="inlineStr">
        <is>
          <t>mc</t>
        </is>
      </c>
      <c r="F11" s="3">
        <v>300.0</v>
      </c>
      <c r="G11" s="3">
        <v>37.0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base</t>
        </is>
      </c>
      <c r="C12" s="3">
        <v>130.0</v>
      </c>
      <c r="D12" s="3"/>
      <c r="E12" s="3" t="inlineStr">
        <is>
          <t>mc</t>
        </is>
      </c>
      <c r="F12" s="3">
        <v>0.0</v>
      </c>
      <c r="G12" s="3">
        <v>37.0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0.0</v>
      </c>
      <c r="N12" s="3">
        <v>0.0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-10.0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>shell</v>
      </c>
      <c r="B6" s="57"/>
      <c r="D6" s="56" t="str">
        <f>_xlfn.XLOOKUP(E5,mat!$A:$A, mat!$B:$B,"") &amp; ""</f>
        <v>base</v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0.0</v>
      </c>
      <c r="B9" s="3">
        <v>0.0</v>
      </c>
      <c r="D9" s="3">
        <v>-30.0</v>
      </c>
      <c r="E9" s="3">
        <v>0.0</v>
      </c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30.0</v>
      </c>
      <c r="B10" s="3">
        <v>24.0</v>
      </c>
      <c r="D10" s="3">
        <v>2.0</v>
      </c>
      <c r="E10" s="3">
        <v>0.0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32.0</v>
      </c>
      <c r="B11" s="3">
        <v>24.0</v>
      </c>
      <c r="D11" s="3">
        <v>32.0</v>
      </c>
      <c r="E11" s="3">
        <v>24.0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>
        <v>100.0</v>
      </c>
      <c r="E12" s="3">
        <v>24.0</v>
      </c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>shell</v>
      </c>
      <c r="B7" s="57"/>
      <c r="D7" s="58" t="str">
        <f>IF(OR(E5="",E5="material"),_xlfn.XLOOKUP(E6,mat!$A:$A, mat!$B:$B,"") &amp; "","")</f>
        <v>base</v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0.0</v>
      </c>
      <c r="C3" s="3">
        <v>40.0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>
        <v>15.0</v>
      </c>
      <c r="C4" s="3">
        <v>40.0</v>
      </c>
      <c r="D4" s="3" t="inlineStr">
        <is>
          <t>Depth</t>
        </is>
      </c>
      <c r="E4" s="3">
        <v>-10.0</v>
      </c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>
        <v>30.0</v>
      </c>
      <c r="C7" s="3">
        <v>24.0</v>
      </c>
      <c r="D7" s="3">
        <v>240.0</v>
      </c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>
        <v>100.0</v>
      </c>
      <c r="C8" s="3">
        <v>24.0</v>
      </c>
      <c r="D8" s="3">
        <v>240.0</v>
      </c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312</v>
      </c>
      <c r="N2" s="27" t="s">
        <v>313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 t="inlineStr">
        <is>
          <t>Line 1</t>
        </is>
      </c>
      <c r="C3" s="3">
        <v>0.0</v>
      </c>
      <c r="D3" s="3">
        <v>0.0</v>
      </c>
      <c r="E3" s="3">
        <v>20.0</v>
      </c>
      <c r="F3" s="3">
        <v>0.0</v>
      </c>
      <c r="G3" s="3" t="inlineStr">
        <is>
          <t>Geosynthetic</t>
        </is>
      </c>
      <c r="H3" s="3" t="str">
        <f>IF($G3="","",IFERROR(VLOOKUP($G3,$AB$8:$AD$11,2,0),""))</f>
        <v>Tangent</v>
      </c>
      <c r="I3" s="3" t="str">
        <f>IF($G3="","",IFERROR(VLOOKUP($G3,$AB$8:$AD$11,3,0),""))</f>
        <v>Active</v>
      </c>
      <c r="J3" s="3">
        <v>800.0</v>
      </c>
      <c r="K3" s="3">
        <v>4.0</v>
      </c>
      <c r="L3" s="3">
        <v>4.0</v>
      </c>
      <c r="M3" s="3"/>
      <c r="N3" s="3"/>
      <c r="O3" s="3">
        <v>0.0</v>
      </c>
      <c r="P3" s="3">
        <v>0.0</v>
      </c>
      <c r="Q3" s="3">
        <v>1.0</v>
      </c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 t="inlineStr">
        <is>
          <t>Line 2</t>
        </is>
      </c>
      <c r="C4" s="3">
        <v>5.0</v>
      </c>
      <c r="D4" s="3">
        <v>4.0</v>
      </c>
      <c r="E4" s="3">
        <v>25.0</v>
      </c>
      <c r="F4" s="3">
        <v>4.0</v>
      </c>
      <c r="G4" s="3" t="inlineStr">
        <is>
          <t>Geosynthetic</t>
        </is>
      </c>
      <c r="H4" s="3" t="str">
        <f>IF($G4="","",IFERROR(VLOOKUP($G4,$AB$8:$AD$11,2,0),""))</f>
        <v>Tangent</v>
      </c>
      <c r="I4" s="3" t="str">
        <f>IF($G4="","",IFERROR(VLOOKUP($G4,$AB$8:$AD$11,3,0),""))</f>
        <v>Active</v>
      </c>
      <c r="J4" s="3">
        <v>800.0</v>
      </c>
      <c r="K4" s="3">
        <v>4.0</v>
      </c>
      <c r="L4" s="3">
        <v>4.0</v>
      </c>
      <c r="M4" s="3"/>
      <c r="N4" s="3"/>
      <c r="O4" s="3">
        <v>0.0</v>
      </c>
      <c r="P4" s="3">
        <v>0.0</v>
      </c>
      <c r="Q4" s="3">
        <v>1.0</v>
      </c>
      <c r="R4" s="3"/>
      <c r="S4" s="3"/>
      <c r="T4" s="3"/>
      <c r="AB4" t="s">
        <v>264</v>
      </c>
    </row>
    <row r="5" spans="1:30" x14ac:dyDescent="0.2">
      <c r="A5" s="3">
        <v>3</v>
      </c>
      <c r="B5" s="3" t="inlineStr">
        <is>
          <t>Line 3</t>
        </is>
      </c>
      <c r="C5" s="3">
        <v>10.0</v>
      </c>
      <c r="D5" s="3">
        <v>8.0</v>
      </c>
      <c r="E5" s="3">
        <v>30.0</v>
      </c>
      <c r="F5" s="3">
        <v>8.0</v>
      </c>
      <c r="G5" s="3" t="inlineStr">
        <is>
          <t>Geosynthetic</t>
        </is>
      </c>
      <c r="H5" s="3" t="str">
        <f>IF($G5="","",IFERROR(VLOOKUP($G5,$AB$8:$AD$11,2,0),""))</f>
        <v>Tangent</v>
      </c>
      <c r="I5" s="3" t="str">
        <f>IF($G5="","",IFERROR(VLOOKUP($G5,$AB$8:$AD$11,3,0),""))</f>
        <v>Active</v>
      </c>
      <c r="J5" s="3">
        <v>800.0</v>
      </c>
      <c r="K5" s="3">
        <v>4.0</v>
      </c>
      <c r="L5" s="3">
        <v>4.0</v>
      </c>
      <c r="M5" s="3"/>
      <c r="N5" s="3"/>
      <c r="O5" s="3">
        <v>0.0</v>
      </c>
      <c r="P5" s="3">
        <v>0.0</v>
      </c>
      <c r="Q5" s="3">
        <v>1.0</v>
      </c>
      <c r="R5" s="3"/>
      <c r="S5" s="3"/>
      <c r="T5" s="3"/>
      <c r="AB5" t="s">
        <v>265</v>
      </c>
    </row>
    <row r="6" spans="1:30" x14ac:dyDescent="0.2">
      <c r="A6" s="3">
        <v>4</v>
      </c>
      <c r="B6" s="3" t="inlineStr">
        <is>
          <t>Line 4</t>
        </is>
      </c>
      <c r="C6" s="3">
        <v>15.0</v>
      </c>
      <c r="D6" s="3">
        <v>12.0</v>
      </c>
      <c r="E6" s="3">
        <v>35.0</v>
      </c>
      <c r="F6" s="3">
        <v>12.0</v>
      </c>
      <c r="G6" s="3" t="inlineStr">
        <is>
          <t>Geosynthetic</t>
        </is>
      </c>
      <c r="H6" s="3" t="str">
        <f>IF($G6="","",IFERROR(VLOOKUP($G6,$AB$8:$AD$11,2,0),""))</f>
        <v>Tangent</v>
      </c>
      <c r="I6" s="3" t="str">
        <f>IF($G6="","",IFERROR(VLOOKUP($G6,$AB$8:$AD$11,3,0),""))</f>
        <v>Active</v>
      </c>
      <c r="J6" s="3">
        <v>800.0</v>
      </c>
      <c r="K6" s="3">
        <v>4.0</v>
      </c>
      <c r="L6" s="3">
        <v>4.0</v>
      </c>
      <c r="M6" s="3"/>
      <c r="N6" s="3"/>
      <c r="O6" s="3">
        <v>0.0</v>
      </c>
      <c r="P6" s="3">
        <v>0.0</v>
      </c>
      <c r="Q6" s="3">
        <v>1.0</v>
      </c>
      <c r="R6" s="3"/>
      <c r="S6" s="3"/>
      <c r="T6" s="3"/>
    </row>
    <row r="7" spans="1:30" x14ac:dyDescent="0.2">
      <c r="A7" s="3">
        <v>5</v>
      </c>
      <c r="B7" s="3" t="inlineStr">
        <is>
          <t>Line 5</t>
        </is>
      </c>
      <c r="C7" s="3">
        <v>20.0</v>
      </c>
      <c r="D7" s="3">
        <v>16.0</v>
      </c>
      <c r="E7" s="3">
        <v>40.0</v>
      </c>
      <c r="F7" s="3">
        <v>16.0</v>
      </c>
      <c r="G7" s="3" t="inlineStr">
        <is>
          <t>Geosynthetic</t>
        </is>
      </c>
      <c r="H7" s="3" t="str">
        <f>IF($G7="","",IFERROR(VLOOKUP($G7,$AB$8:$AD$11,2,0),""))</f>
        <v>Tangent</v>
      </c>
      <c r="I7" s="3" t="str">
        <f>IF($G7="","",IFERROR(VLOOKUP($G7,$AB$8:$AD$11,3,0),""))</f>
        <v>Active</v>
      </c>
      <c r="J7" s="3">
        <v>800.0</v>
      </c>
      <c r="K7" s="3">
        <v>4.0</v>
      </c>
      <c r="L7" s="3">
        <v>4.0</v>
      </c>
      <c r="M7" s="3"/>
      <c r="N7" s="3"/>
      <c r="O7" s="3">
        <v>0.0</v>
      </c>
      <c r="P7" s="3">
        <v>0.0</v>
      </c>
      <c r="Q7" s="3">
        <v>1.0</v>
      </c>
      <c r="R7" s="3"/>
      <c r="S7" s="3"/>
      <c r="T7" s="3"/>
    </row>
    <row r="8" spans="1:30" x14ac:dyDescent="0.2">
      <c r="A8" s="3">
        <v>6</v>
      </c>
      <c r="B8" s="3" t="inlineStr">
        <is>
          <t>Line 6</t>
        </is>
      </c>
      <c r="C8" s="3">
        <v>25.0</v>
      </c>
      <c r="D8" s="3">
        <v>20.0</v>
      </c>
      <c r="E8" s="3">
        <v>45.0</v>
      </c>
      <c r="F8" s="3">
        <v>20.0</v>
      </c>
      <c r="G8" s="3" t="inlineStr">
        <is>
          <t>Geosynthetic</t>
        </is>
      </c>
      <c r="H8" s="3" t="str">
        <f>IF($G8="","",IFERROR(VLOOKUP($G8,$AB$8:$AD$11,2,0),""))</f>
        <v>Tangent</v>
      </c>
      <c r="I8" s="3" t="str">
        <f>IF($G8="","",IFERROR(VLOOKUP($G8,$AB$8:$AD$11,3,0),""))</f>
        <v>Active</v>
      </c>
      <c r="J8" s="3">
        <v>800.0</v>
      </c>
      <c r="K8" s="3">
        <v>4.0</v>
      </c>
      <c r="L8" s="3">
        <v>4.0</v>
      </c>
      <c r="M8" s="3"/>
      <c r="N8" s="3"/>
      <c r="O8" s="3">
        <v>0.0</v>
      </c>
      <c r="P8" s="3">
        <v>0.0</v>
      </c>
      <c r="Q8" s="3">
        <v>1.0</v>
      </c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>IF($G9="","",IFERROR(VLOOKUP($G9,$AB$8:$AD$11,2,0),""))</f>
        <v/>
      </c>
      <c r="I9" s="3" t="str">
        <f>IF($G9="","",IFERROR(VLOOKUP($G9,$AB$8:$AD$11,3,0),""))</f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>IF($G10="","",IFERROR(VLOOKUP($G10,$AB$8:$AD$11,2,0),""))</f>
        <v/>
      </c>
      <c r="I10" s="3" t="str">
        <f>IF($G10="","",IFERROR(VLOOKUP($G10,$AB$8:$AD$11,3,0),""))</f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>IF($G11="","",IFERROR(VLOOKUP($G11,$AB$8:$AD$11,2,0),""))</f>
        <v/>
      </c>
      <c r="I11" s="3" t="str">
        <f>IF($G11="","",IFERROR(VLOOKUP($G11,$AB$8:$AD$11,3,0),""))</f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>IF($G12="","",IFERROR(VLOOKUP($G12,$AB$8:$AD$11,2,0),""))</f>
        <v/>
      </c>
      <c r="I12" s="3" t="str">
        <f>IF($G12="","",IFERROR(VLOOKUP($G12,$AB$8:$AD$11,3,0),""))</f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>IF($G13="","",IFERROR(VLOOKUP($G13,$AB$8:$AD$11,2,0),""))</f>
        <v/>
      </c>
      <c r="I13" s="3" t="str">
        <f>IF($G13="","",IFERROR(VLOOKUP($G13,$AB$8:$AD$11,3,0),""))</f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>IF($G14="","",IFERROR(VLOOKUP($G14,$AB$8:$AD$11,2,0),""))</f>
        <v/>
      </c>
      <c r="I14" s="3" t="str">
        <f>IF($G14="","",IFERROR(VLOOKUP($G14,$AB$8:$AD$11,3,0),""))</f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>IF($G15="","",IFERROR(VLOOKUP($G15,$AB$8:$AD$11,2,0),""))</f>
        <v/>
      </c>
      <c r="I15" s="3" t="str">
        <f>IF($G15="","",IFERROR(VLOOKUP($G15,$AB$8:$AD$11,3,0),""))</f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>IF($G16="","",IFERROR(VLOOKUP($G16,$AB$8:$AD$11,2,0),""))</f>
        <v/>
      </c>
      <c r="I16" s="3" t="str">
        <f>IF($G16="","",IFERROR(VLOOKUP($G16,$AB$8:$AD$11,3,0),""))</f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>IF($G17="","",IFERROR(VLOOKUP($G17,$AB$8:$AD$11,2,0),""))</f>
        <v/>
      </c>
      <c r="I17" s="3" t="str">
        <f>IF($G17="","",IFERROR(VLOOKUP($G17,$AB$8:$AD$11,3,0),""))</f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>IF($G18="","",IFERROR(VLOOKUP($G18,$AB$8:$AD$11,2,0),""))</f>
        <v/>
      </c>
      <c r="I18" s="3" t="str">
        <f>IF($G18="","",IFERROR(VLOOKUP($G18,$AB$8:$AD$11,3,0),""))</f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>IF($G19="","",IFERROR(VLOOKUP($G19,$AB$8:$AD$11,2,0),""))</f>
        <v/>
      </c>
      <c r="I19" s="3" t="str">
        <f>IF($G19="","",IFERROR(VLOOKUP($G19,$AB$8:$AD$11,3,0),""))</f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>IF($G20="","",IFERROR(VLOOKUP($G20,$AB$8:$AD$11,2,0),""))</f>
        <v/>
      </c>
      <c r="I20" s="3" t="str">
        <f>IF($G20="","",IFERROR(VLOOKUP($G20,$AB$8:$AD$11,3,0),""))</f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>IF($G21="","",IFERROR(VLOOKUP($G21,$AB$8:$AD$11,2,0),""))</f>
        <v/>
      </c>
      <c r="I21" s="3" t="str">
        <f>IF($G21="","",IFERROR(VLOOKUP($G21,$AB$8:$AD$11,3,0),""))</f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>IF($G22="","",IFERROR(VLOOKUP($G22,$AB$8:$AD$11,2,0),""))</f>
        <v/>
      </c>
      <c r="I22" s="3" t="str">
        <f>IF($G22="","",IFERROR(VLOOKUP($G22,$AB$8:$AD$11,3,0),""))</f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Z17"/>
  <sheetViews>
    <sheetView showGridLines="0" zoomScale="140" zoomScaleNormal="140" workbookViewId="0">
      <selection activeCell="B15" sqref="B15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6" width="10.83203125" style="1" customWidth="1"/>
    <col min="17" max="17" width="5.5" customWidth="1"/>
  </cols>
  <sheetData>
    <row r="2" spans="1:26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272</v>
      </c>
      <c r="Y2" t="s">
        <v>222</v>
      </c>
      <c r="Z2" t="s">
        <v>260</v>
      </c>
    </row>
    <row r="3" spans="1:26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Y3" t="s">
        <v>226</v>
      </c>
      <c r="Z3" t="s">
        <v>263</v>
      </c>
    </row>
    <row r="4" spans="1:26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</row>
    <row r="5" spans="1:26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26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26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</row>
    <row r="9" spans="1:26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</row>
    <row r="10" spans="1:26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</row>
    <row r="11" spans="1:26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26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4" spans="1:26" x14ac:dyDescent="0.2">
      <c r="I14" s="9"/>
      <c r="J14" s="9"/>
    </row>
    <row r="15" spans="1:26" x14ac:dyDescent="0.2">
      <c r="R15" s="42"/>
      <c r="S15" t="s">
        <v>91</v>
      </c>
    </row>
    <row r="16" spans="1:26" x14ac:dyDescent="0.2">
      <c r="R16" s="26"/>
      <c r="S16" s="9" t="s">
        <v>97</v>
      </c>
    </row>
    <row r="17" spans="18:19" x14ac:dyDescent="0.2">
      <c r="R17" s="29"/>
      <c r="S17" s="9" t="s">
        <v>104</v>
      </c>
    </row>
  </sheetData>
  <dataValidations count="2">
    <dataValidation type="list" allowBlank="1" showInputMessage="1" showErrorMessage="1" sqref="P3:P12" xr:uid="{00000000-0002-0000-0A00-000000000000}">
      <formula1>$Y$2:$Y$3</formula1>
    </dataValidation>
    <dataValidation type="list" allowBlank="1" showInputMessage="1" showErrorMessage="1" sqref="H3:H12" xr:uid="{00000000-0002-0000-0A00-000001000000}">
      <formula1>$Z$2:$Z$3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273</v>
      </c>
      <c r="F2" s="12" t="s">
        <v>274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275</v>
      </c>
      <c r="C2" s="65"/>
      <c r="E2" s="59" t="s">
        <v>276</v>
      </c>
      <c r="F2" s="54"/>
      <c r="H2" s="59" t="s">
        <v>277</v>
      </c>
      <c r="I2" s="54"/>
      <c r="K2" s="59" t="s">
        <v>278</v>
      </c>
      <c r="L2" s="54"/>
      <c r="N2" s="59" t="s">
        <v>279</v>
      </c>
      <c r="O2" s="54"/>
      <c r="Q2" s="59" t="s">
        <v>280</v>
      </c>
      <c r="R2" s="54"/>
    </row>
    <row r="3" spans="2:21" x14ac:dyDescent="0.2">
      <c r="B3" s="66"/>
      <c r="C3" s="67"/>
      <c r="E3" s="32" t="s">
        <v>281</v>
      </c>
      <c r="F3" s="33"/>
      <c r="H3" s="32" t="s">
        <v>281</v>
      </c>
      <c r="I3" s="33"/>
      <c r="K3" s="32" t="s">
        <v>281</v>
      </c>
      <c r="L3" s="33"/>
      <c r="N3" s="32" t="s">
        <v>281</v>
      </c>
      <c r="O3" s="33"/>
      <c r="Q3" s="32" t="s">
        <v>281</v>
      </c>
      <c r="R3" s="33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286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287</v>
      </c>
      <c r="C2" s="65"/>
      <c r="E2" s="60" t="s">
        <v>288</v>
      </c>
      <c r="F2" s="54"/>
      <c r="H2" s="60" t="s">
        <v>289</v>
      </c>
      <c r="I2" s="54"/>
      <c r="K2" s="60" t="s">
        <v>290</v>
      </c>
      <c r="L2" s="54"/>
      <c r="N2" s="60" t="s">
        <v>291</v>
      </c>
      <c r="O2" s="54"/>
      <c r="Q2" s="60" t="s">
        <v>292</v>
      </c>
      <c r="R2" s="54"/>
    </row>
    <row r="3" spans="2:21" x14ac:dyDescent="0.2">
      <c r="B3" s="66"/>
      <c r="C3" s="67"/>
      <c r="E3" s="34" t="s">
        <v>281</v>
      </c>
      <c r="F3" s="35"/>
      <c r="H3" s="34" t="s">
        <v>281</v>
      </c>
      <c r="I3" s="35"/>
      <c r="K3" s="34" t="s">
        <v>281</v>
      </c>
      <c r="L3" s="35"/>
      <c r="N3" s="34" t="s">
        <v>281</v>
      </c>
      <c r="O3" s="35"/>
      <c r="Q3" s="34" t="s">
        <v>281</v>
      </c>
      <c r="R3" s="35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293</v>
      </c>
      <c r="C2" s="50" t="s">
        <v>294</v>
      </c>
      <c r="D2" s="50" t="s">
        <v>295</v>
      </c>
      <c r="E2" s="50" t="s">
        <v>296</v>
      </c>
      <c r="F2" s="50" t="s">
        <v>297</v>
      </c>
      <c r="G2" s="50" t="s">
        <v>298</v>
      </c>
    </row>
    <row r="3" spans="2:10" x14ac:dyDescent="0.2">
      <c r="B3" s="3"/>
      <c r="C3" s="3"/>
      <c r="D3" s="3"/>
      <c r="E3" s="3"/>
      <c r="F3" s="3"/>
      <c r="G3" s="3"/>
      <c r="I3" s="14" t="s">
        <v>299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300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301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302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303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304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2026-08-22T13:17:36Z</dcterms:modified>
</cp:coreProperties>
</file>