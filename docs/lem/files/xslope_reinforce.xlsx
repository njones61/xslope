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<sst xmlns="http://schemas.openxmlformats.org/spreadsheetml/2006/main" count="597" uniqueCount="314">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</sst>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>shell</v>
      </c>
      <c r="B6" s="57"/>
      <c r="D6" s="56" t="str">
        <f>_xlfn.XLOOKUP(E5,mat!$A:$A, mat!$B:$B,"") &amp; ""</f>
        <v>base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>shell</v>
      </c>
      <c r="B7" s="57"/>
      <c r="D7" s="58" t="str">
        <f>IF(OR(E5="",E5="material"),_xlfn.XLOOKUP(E6,mat!$A:$A, mat!$B:$B,"") &amp; "","")</f>
        <v>base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>Tangent</v>
      </c>
      <c r="I3" s="3" t="str">
        <f>IF($G3="","",IFERROR(VLOOKUP($G3,$AB$8:$AD$11,3,0),""))</f>
        <v>Active</v>
      </c>
      <c r="J3" s="3">
        <v>800.0</v>
      </c>
      <c r="K3" s="3">
        <v>4.0</v>
      </c>
      <c r="L3" s="3">
        <v>2.0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>Tangent</v>
      </c>
      <c r="I4" s="3" t="str">
        <f>IF($G4="","",IFERROR(VLOOKUP($G4,$AB$8:$AD$11,3,0),""))</f>
        <v>Active</v>
      </c>
      <c r="J4" s="3">
        <v>800.0</v>
      </c>
      <c r="K4" s="3">
        <v>4.0</v>
      </c>
      <c r="L4" s="3">
        <v>2.0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>Tangent</v>
      </c>
      <c r="I5" s="3" t="str">
        <f>IF($G5="","",IFERROR(VLOOKUP($G5,$AB$8:$AD$11,3,0),""))</f>
        <v>Active</v>
      </c>
      <c r="J5" s="3">
        <v>800.0</v>
      </c>
      <c r="K5" s="3">
        <v>4.0</v>
      </c>
      <c r="L5" s="3">
        <v>2.0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>Tangent</v>
      </c>
      <c r="I6" s="3" t="str">
        <f>IF($G6="","",IFERROR(VLOOKUP($G6,$AB$8:$AD$11,3,0),""))</f>
        <v>Active</v>
      </c>
      <c r="J6" s="3">
        <v>800.0</v>
      </c>
      <c r="K6" s="3">
        <v>4.0</v>
      </c>
      <c r="L6" s="3">
        <v>2.0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>Tangent</v>
      </c>
      <c r="I7" s="3" t="str">
        <f>IF($G7="","",IFERROR(VLOOKUP($G7,$AB$8:$AD$11,3,0),""))</f>
        <v>Active</v>
      </c>
      <c r="J7" s="3">
        <v>800.0</v>
      </c>
      <c r="K7" s="3">
        <v>4.0</v>
      </c>
      <c r="L7" s="3">
        <v>2.0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>Tangent</v>
      </c>
      <c r="I8" s="3" t="str">
        <f>IF($G8="","",IFERROR(VLOOKUP($G8,$AB$8:$AD$11,3,0),""))</f>
        <v>Active</v>
      </c>
      <c r="J8" s="3">
        <v>800.0</v>
      </c>
      <c r="K8" s="3">
        <v>4.0</v>
      </c>
      <c r="L8" s="3">
        <v>2.0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