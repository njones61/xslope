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<sst xmlns="http://schemas.openxmlformats.org/spreadsheetml/2006/main" count="602" uniqueCount="319">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</sst>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300.0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base</t>
        </is>
      </c>
      <c r="C12" s="3">
        <v>130.0</v>
      </c>
      <c r="D12" s="3"/>
      <c r="E12" s="3" t="inlineStr">
        <is>
          <t>mc</t>
        </is>
      </c>
      <c r="F12" s="3">
        <v>0.0</v>
      </c>
      <c r="G12" s="3">
        <v>37.0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shell</v>
      </c>
      <c r="B6" s="57"/>
      <c r="D6" s="56" t="str">
        <f>_xlfn.XLOOKUP(E5,mat!$A:$A, mat!$B:$B,"") &amp; ""</f>
        <v>base</v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24.0</v>
      </c>
      <c r="D10" s="3">
        <v>2.0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32.0</v>
      </c>
      <c r="B11" s="3">
        <v>24.0</v>
      </c>
      <c r="D11" s="3">
        <v>32.0</v>
      </c>
      <c r="E11" s="3">
        <v>24.0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100.0</v>
      </c>
      <c r="E12" s="3">
        <v>24.0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shell</v>
      </c>
      <c r="B7" s="57"/>
      <c r="D7" s="58" t="str">
        <f>IF(OR(E5="",E5="material"),_xlfn.XLOOKUP(E6,mat!$A:$A, mat!$B:$B,"") &amp; "","")</f>
        <v>base</v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15.0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30.0</v>
      </c>
      <c r="C7" s="3">
        <v>24.0</v>
      </c>
      <c r="D7" s="3">
        <v>240.0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100.0</v>
      </c>
      <c r="C8" s="3">
        <v>24.0</v>
      </c>
      <c r="D8" s="3">
        <v>240.0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 t="inlineStr">
        <is>
          <t>Line 1</t>
        </is>
      </c>
      <c r="C3" s="3">
        <v>0.0</v>
      </c>
      <c r="D3" s="3">
        <v>0.0</v>
      </c>
      <c r="E3" s="3">
        <v>20.0</v>
      </c>
      <c r="F3" s="3">
        <v>0.0</v>
      </c>
      <c r="G3" s="3" t="inlineStr">
        <is>
          <t>Geosynthetic</t>
        </is>
      </c>
      <c r="H3" s="3" t="str">
        <f>IF($G3="","",IFERROR(VLOOKUP($G3,$AB$8:$AD$11,2,0),""))</f>
        <v>Tangent</v>
      </c>
      <c r="I3" s="3" t="str">
        <f t="shared" ref="I3:I22" si="1">IF($G3="","",IFERROR(VLOOKUP($G3,$AB$8:$AD$11,3,0),""))</f>
        <v>Active</v>
      </c>
      <c r="J3" s="3">
        <v>800.0</v>
      </c>
      <c r="K3" s="3">
        <v>4.0</v>
      </c>
      <c r="L3" s="3">
        <v>4.0</v>
      </c>
      <c r="M3" s="3"/>
      <c r="N3" s="3"/>
      <c r="O3" s="3">
        <v>0.0</v>
      </c>
      <c r="P3" s="3">
        <v>0.0</v>
      </c>
      <c r="Q3" s="3">
        <v>1.0</v>
      </c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 t="inlineStr">
        <is>
          <t>Line 2</t>
        </is>
      </c>
      <c r="C4" s="3">
        <v>5.0</v>
      </c>
      <c r="D4" s="3">
        <v>4.0</v>
      </c>
      <c r="E4" s="3">
        <v>25.0</v>
      </c>
      <c r="F4" s="3">
        <v>4.0</v>
      </c>
      <c r="G4" s="3" t="inlineStr">
        <is>
          <t>Geosynthetic</t>
        </is>
      </c>
      <c r="H4" s="3" t="str">
        <f>IF($G4="","",IFERROR(VLOOKUP($G4,$AB$8:$AD$11,2,0),""))</f>
        <v>Tangent</v>
      </c>
      <c r="I4" s="3" t="str">
        <f t="shared" si="1"/>
        <v>Active</v>
      </c>
      <c r="J4" s="3">
        <v>800.0</v>
      </c>
      <c r="K4" s="3">
        <v>4.0</v>
      </c>
      <c r="L4" s="3">
        <v>4.0</v>
      </c>
      <c r="M4" s="3"/>
      <c r="N4" s="3"/>
      <c r="O4" s="3">
        <v>0.0</v>
      </c>
      <c r="P4" s="3">
        <v>0.0</v>
      </c>
      <c r="Q4" s="3">
        <v>1.0</v>
      </c>
      <c r="R4" s="3"/>
      <c r="S4" s="3"/>
      <c r="T4" s="3"/>
      <c r="AB4" t="s">
        <v>263</v>
      </c>
    </row>
    <row r="5" spans="1:30" x14ac:dyDescent="0.2">
      <c r="A5" s="3">
        <v>3</v>
      </c>
      <c r="B5" s="3" t="inlineStr">
        <is>
          <t>Line 3</t>
        </is>
      </c>
      <c r="C5" s="3">
        <v>10.0</v>
      </c>
      <c r="D5" s="3">
        <v>8.0</v>
      </c>
      <c r="E5" s="3">
        <v>30.0</v>
      </c>
      <c r="F5" s="3">
        <v>8.0</v>
      </c>
      <c r="G5" s="3" t="inlineStr">
        <is>
          <t>Geosynthetic</t>
        </is>
      </c>
      <c r="H5" s="3" t="str">
        <f>IF($G5="","",IFERROR(VLOOKUP($G5,$AB$8:$AD$11,2,0),""))</f>
        <v>Tangent</v>
      </c>
      <c r="I5" s="3" t="str">
        <f t="shared" si="1"/>
        <v>Active</v>
      </c>
      <c r="J5" s="3">
        <v>800.0</v>
      </c>
      <c r="K5" s="3">
        <v>4.0</v>
      </c>
      <c r="L5" s="3">
        <v>4.0</v>
      </c>
      <c r="M5" s="3"/>
      <c r="N5" s="3"/>
      <c r="O5" s="3">
        <v>0.0</v>
      </c>
      <c r="P5" s="3">
        <v>0.0</v>
      </c>
      <c r="Q5" s="3">
        <v>1.0</v>
      </c>
      <c r="R5" s="3"/>
      <c r="S5" s="3"/>
      <c r="T5" s="3"/>
      <c r="AB5" t="s">
        <v>264</v>
      </c>
    </row>
    <row r="6" spans="1:30" x14ac:dyDescent="0.2">
      <c r="A6" s="3">
        <v>4</v>
      </c>
      <c r="B6" s="3" t="inlineStr">
        <is>
          <t>Line 4</t>
        </is>
      </c>
      <c r="C6" s="3">
        <v>15.0</v>
      </c>
      <c r="D6" s="3">
        <v>12.0</v>
      </c>
      <c r="E6" s="3">
        <v>35.0</v>
      </c>
      <c r="F6" s="3">
        <v>12.0</v>
      </c>
      <c r="G6" s="3" t="inlineStr">
        <is>
          <t>Geosynthetic</t>
        </is>
      </c>
      <c r="H6" s="3" t="str">
        <f>IF($G6="","",IFERROR(VLOOKUP($G6,$AB$8:$AD$11,2,0),""))</f>
        <v>Tangent</v>
      </c>
      <c r="I6" s="3" t="str">
        <f t="shared" si="1"/>
        <v>Active</v>
      </c>
      <c r="J6" s="3">
        <v>800.0</v>
      </c>
      <c r="K6" s="3">
        <v>4.0</v>
      </c>
      <c r="L6" s="3">
        <v>4.0</v>
      </c>
      <c r="M6" s="3"/>
      <c r="N6" s="3"/>
      <c r="O6" s="3">
        <v>0.0</v>
      </c>
      <c r="P6" s="3">
        <v>0.0</v>
      </c>
      <c r="Q6" s="3">
        <v>1.0</v>
      </c>
      <c r="R6" s="3"/>
      <c r="S6" s="3"/>
      <c r="T6" s="3"/>
    </row>
    <row r="7" spans="1:30" x14ac:dyDescent="0.2">
      <c r="A7" s="3">
        <v>5</v>
      </c>
      <c r="B7" s="3" t="inlineStr">
        <is>
          <t>Line 5</t>
        </is>
      </c>
      <c r="C7" s="3">
        <v>20.0</v>
      </c>
      <c r="D7" s="3">
        <v>16.0</v>
      </c>
      <c r="E7" s="3">
        <v>40.0</v>
      </c>
      <c r="F7" s="3">
        <v>16.0</v>
      </c>
      <c r="G7" s="3" t="inlineStr">
        <is>
          <t>Geosynthetic</t>
        </is>
      </c>
      <c r="H7" s="3" t="str">
        <f>IF($G7="","",IFERROR(VLOOKUP($G7,$AB$8:$AD$11,2,0),""))</f>
        <v>Tangent</v>
      </c>
      <c r="I7" s="3" t="str">
        <f t="shared" si="1"/>
        <v>Active</v>
      </c>
      <c r="J7" s="3">
        <v>800.0</v>
      </c>
      <c r="K7" s="3">
        <v>4.0</v>
      </c>
      <c r="L7" s="3">
        <v>4.0</v>
      </c>
      <c r="M7" s="3"/>
      <c r="N7" s="3"/>
      <c r="O7" s="3">
        <v>0.0</v>
      </c>
      <c r="P7" s="3">
        <v>0.0</v>
      </c>
      <c r="Q7" s="3">
        <v>1.0</v>
      </c>
      <c r="R7" s="3"/>
      <c r="S7" s="3"/>
      <c r="T7" s="3"/>
    </row>
    <row r="8" spans="1:30" x14ac:dyDescent="0.2">
      <c r="A8" s="3">
        <v>6</v>
      </c>
      <c r="B8" s="3" t="inlineStr">
        <is>
          <t>Line 6</t>
        </is>
      </c>
      <c r="C8" s="3">
        <v>25.0</v>
      </c>
      <c r="D8" s="3">
        <v>20.0</v>
      </c>
      <c r="E8" s="3">
        <v>45.0</v>
      </c>
      <c r="F8" s="3">
        <v>20.0</v>
      </c>
      <c r="G8" s="3" t="inlineStr">
        <is>
          <t>Geosynthetic</t>
        </is>
      </c>
      <c r="H8" s="3" t="str">
        <f>IF($G8="","",IFERROR(VLOOKUP($G8,$AB$8:$AD$11,2,0),""))</f>
        <v>Tangent</v>
      </c>
      <c r="I8" s="3" t="str">
        <f t="shared" si="1"/>
        <v>Active</v>
      </c>
      <c r="J8" s="3">
        <v>800.0</v>
      </c>
      <c r="K8" s="3">
        <v>4.0</v>
      </c>
      <c r="L8" s="3">
        <v>4.0</v>
      </c>
      <c r="M8" s="3"/>
      <c r="N8" s="3"/>
      <c r="O8" s="3">
        <v>0.0</v>
      </c>
      <c r="P8" s="3">
        <v>0.0</v>
      </c>
      <c r="Q8" s="3">
        <v>1.0</v>
      </c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IF($G9="","",IFERROR(VLOOKUP($G9,$AB$8:$AD$11,2,0),""))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IF($G10="","",IFERROR(VLOOKUP($G10,$AB$8:$AD$11,2,0),""))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IF($G11="","",IFERROR(VLOOKUP($G11,$AB$8:$AD$11,2,0),""))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IF($G12="","",IFERROR(VLOOKUP($G12,$AB$8:$AD$11,2,0),""))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IF($G13="","",IFERROR(VLOOKUP($G13,$AB$8:$AD$11,2,0),""))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IF($G14="","",IFERROR(VLOOKUP($G14,$AB$8:$AD$11,2,0),""))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IF($G15="","",IFERROR(VLOOKUP($G15,$AB$8:$AD$11,2,0),""))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IF($G16="","",IFERROR(VLOOKUP($G16,$AB$8:$AD$11,2,0),""))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IF($G17="","",IFERROR(VLOOKUP($G17,$AB$8:$AD$11,2,0),""))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IF($G18="","",IFERROR(VLOOKUP($G18,$AB$8:$AD$11,2,0),""))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IF($G19="","",IFERROR(VLOOKUP($G19,$AB$8:$AD$11,2,0),""))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IF($G20="","",IFERROR(VLOOKUP($G20,$AB$8:$AD$11,2,0),""))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IF($G21="","",IFERROR(VLOOKUP($G21,$AB$8:$AD$11,2,0),""))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IF($G22="","",IFERROR(VLOOKUP($G22,$AB$8:$AD$11,2,0),""))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