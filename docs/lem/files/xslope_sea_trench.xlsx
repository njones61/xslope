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lem/files/"/>
    </mc:Choice>
  </mc:AlternateContent>
  <xr:revisionPtr revIDLastSave="0" documentId="13_ncr:1_{D7650F3A-C3D3-CB44-8F45-2E6A081C808C}" xr6:coauthVersionLast="47" xr6:coauthVersionMax="47" xr10:uidLastSave="{00000000-0000-0000-0000-000000000000}"/>
  <bookViews>
    <workbookView xWindow="23160" yWindow="232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/>
  <c r="E6" i="11"/>
  <c r="D8" i="2"/>
  <c r="A9" i="2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<sst xmlns="http://schemas.openxmlformats.org/spreadsheetml/2006/main" count="277" uniqueCount="155">
  <si>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</si>
  <si>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</si>
  <si>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</si>
  <si>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</si>
  <si>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</si>
  <si>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</si>
  <si>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</si>
  <si>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</si>
  <si>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</si>
  <si>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</si>
  <si>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</si>
  <si>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</si>
  <si>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</si>
  <si>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</si>
  <si>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</si>
  <si>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</si>
  <si>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</si>
  <si>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</si>
  <si>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</si>
  <si>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</si>
  <si>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</si>
  <si>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</si>
  <si>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</si>
  <si>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</si>
  <si>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</si>
  <si>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</si>
  <si>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</si>
  <si>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</si>
  <si>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</si>
  <si>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</si>
  <si>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</si>
  <si>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</si>
  <si>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</si>
  <si>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</si>
  <si>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</si>
  <si>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</si>
  <si>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</si>
  <si>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</si>
  <si>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</si>
  <si>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</si>
  <si>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</si>
  <si>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</si>
  <si>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</si>
  <si>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</si>
  <si>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</si>
  <si>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</si>
  <si>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</si>
  <si>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</si>
  <si>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</si>
  <si>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</si>
  <si>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</si>
  <si>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</si>
  <si>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</si>
  <si>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</si>
  <si>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</si>
  <si>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</si>
  <si>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</si>
  <si>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</si>
  <si>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</si>
  <si>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</si>
  <si>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</si>
  <si>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</si>
  <si>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</si>
  <si>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</si>
  <si>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</si>
  <si>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</si>
  <si>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</si>
  <si>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</si>
  <si>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</si>
  <si>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</si>
  <si>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</si>
  <si>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</si>
  <si>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</si>
  <si>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</si>
  <si>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</si>
  <si>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</si>
  <si>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</si>
  <si>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</si>
  <si>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</si>
  <si>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</si>
  <si>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</si>
  <si>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</si>
  <si>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</si>
  <si>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</si>
  <si>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</si>
  <si>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</si>
  <si>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</si>
  <si>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</si>
  <si>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</si>
  <si>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</si>
  <si>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</si>
  <si>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</si>
  <si>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</si>
  <si>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</si>
  <si>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</si>
  <si>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</si>
  <si>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</si>
  <si>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</si>
  <si>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</si>
  <si>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</si>
  <si>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</si>
  <si>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</si>
  <si>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</si>
  <si>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</si>
  <si>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</si>
  <si>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</si>
  <si>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</si>
  <si>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</si>
  <si>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</si>
  <si>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</si>
  <si>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</si>
  <si>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</si>
  <si>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</si>
  <si>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</si>
  <si>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</si>
  <si>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</si>
  <si>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</si>
  <si>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</si>
  <si>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</si>
  <si>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</si>
  <si>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</si>
  <si>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</si>
  <si>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</si>
  <si>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</si>
  <si>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</si>
  <si>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</si>
  <si>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</si>
  <si>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</si>
  <si>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</si>
  <si>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</si>
  <si>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</si>
  <si>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</si>
  <si>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</si>
  <si>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</si>
  <si>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</si>
  <si>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</si>
  <si>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</si>
  <si>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</si>
  <si>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</si>
  <si>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</si>
  <si>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</si>
  <si>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</si>
  <si>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</si>
  <si>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</si>
  <si>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</si>
  <si>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</si>
  <si>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</si>
  <si>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</si>
  <si>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</si>
  <si>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</si>
  <si>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</si>
  <si>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</si>
  <si>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</si>
  <si>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Silt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</si>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</sst>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43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67</c:v>
                </c:pt>
                <c:pt idx="1">
                  <c:v>110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0</c:v>
                </c:pt>
                <c:pt idx="1">
                  <c:v>42.8</c:v>
                </c:pt>
                <c:pt idx="2">
                  <c:v>43</c:v>
                </c:pt>
                <c:pt idx="3">
                  <c:v>43.2</c:v>
                </c:pt>
                <c:pt idx="4">
                  <c:v>66.8</c:v>
                </c:pt>
                <c:pt idx="5">
                  <c:v>67</c:v>
                </c:pt>
                <c:pt idx="6">
                  <c:v>67.2</c:v>
                </c:pt>
                <c:pt idx="7">
                  <c:v>110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26</c:v>
                </c:pt>
                <c:pt idx="1">
                  <c:v>26</c:v>
                </c:pt>
                <c:pt idx="2">
                  <c:v>22</c:v>
                </c:pt>
                <c:pt idx="3">
                  <c:v>26</c:v>
                </c:pt>
                <c:pt idx="4">
                  <c:v>26</c:v>
                </c:pt>
                <c:pt idx="5">
                  <c:v>22</c:v>
                </c:pt>
                <c:pt idx="6">
                  <c:v>26</c:v>
                </c:pt>
                <c:pt idx="7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43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67</c:v>
                </c:pt>
                <c:pt idx="1">
                  <c:v>110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C26" sqref="C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0.5</v>
      </c>
      <c r="S9" s="3">
        <v>0.5</v>
      </c>
      <c r="T9" s="3">
        <v>0</v>
      </c>
      <c r="U9" s="3">
        <v>1E-3</v>
      </c>
      <c r="V9" s="3">
        <v>-1</v>
      </c>
      <c r="W9" s="3"/>
      <c r="X9" s="3"/>
    </row>
    <row r="10" spans="1:24" x14ac:dyDescent="0.2">
      <c r="A10" s="3">
        <v>2</v>
      </c>
      <c r="B10" s="3" t="s">
        <v>154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0.1</v>
      </c>
      <c r="S10" s="3">
        <v>0.1</v>
      </c>
      <c r="T10" s="3">
        <v>0</v>
      </c>
      <c r="U10" s="3">
        <v>1E-3</v>
      </c>
      <c r="V10" s="3">
        <v>-1</v>
      </c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M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D8" sqref="D8:E9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7" t="s">
        <v>2</v>
      </c>
      <c r="B4" s="47"/>
      <c r="D4" s="47" t="s">
        <v>5</v>
      </c>
      <c r="E4" s="47"/>
      <c r="G4" s="47" t="s">
        <v>6</v>
      </c>
      <c r="H4" s="47"/>
      <c r="J4" s="47" t="s">
        <v>7</v>
      </c>
      <c r="K4" s="47"/>
      <c r="M4" s="47" t="s">
        <v>8</v>
      </c>
      <c r="N4" s="47"/>
      <c r="P4" s="47" t="s">
        <v>9</v>
      </c>
      <c r="Q4" s="47"/>
      <c r="R4" s="1"/>
      <c r="S4" s="47" t="s">
        <v>10</v>
      </c>
      <c r="T4" s="47"/>
      <c r="U4" s="1"/>
      <c r="V4" s="47" t="s">
        <v>11</v>
      </c>
      <c r="W4" s="47"/>
      <c r="X4" s="1"/>
      <c r="Y4" s="47" t="s">
        <v>12</v>
      </c>
      <c r="Z4" s="47"/>
      <c r="AA4" s="1"/>
      <c r="AB4" s="47" t="s">
        <v>13</v>
      </c>
      <c r="AC4" s="47"/>
      <c r="AE4" s="47" t="s">
        <v>116</v>
      </c>
      <c r="AF4" s="47"/>
      <c r="AG4" s="1"/>
      <c r="AH4" s="47" t="s">
        <v>117</v>
      </c>
      <c r="AI4" s="47"/>
      <c r="AJ4" s="1"/>
      <c r="AK4" s="47" t="s">
        <v>118</v>
      </c>
      <c r="AL4" s="47"/>
      <c r="AM4" s="1"/>
      <c r="AN4" s="47" t="s">
        <v>119</v>
      </c>
      <c r="AO4" s="47"/>
      <c r="AP4" s="1"/>
      <c r="AQ4" s="47" t="s">
        <v>120</v>
      </c>
      <c r="AR4" s="47"/>
    </row>
    <row r="5" spans="1:44" x14ac:dyDescent="0.2">
      <c r="A5" s="41" t="s">
        <v>128</v>
      </c>
      <c r="B5" s="42">
        <v>1</v>
      </c>
      <c r="D5" s="41" t="s">
        <v>128</v>
      </c>
      <c r="E5" s="42">
        <v>1</v>
      </c>
      <c r="G5" s="41" t="s">
        <v>128</v>
      </c>
      <c r="H5" s="42">
        <v>2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5" t="str">
        <f>_xlfn.XLOOKUP(B5,mat!$A:$A, mat!$B:$B,"") &amp; ""</f>
        <v>Silt</v>
      </c>
      <c r="B6" s="46"/>
      <c r="D6" s="45" t="str">
        <f>_xlfn.XLOOKUP(E5,mat!$A:$A, mat!$B:$B,"") &amp; ""</f>
        <v>Silt</v>
      </c>
      <c r="E6" s="46"/>
      <c r="G6" s="45" t="str">
        <f>_xlfn.XLOOKUP(H5,mat!$A:$A, mat!$B:$B,"") &amp; ""</f>
        <v>Silty Clay</v>
      </c>
      <c r="H6" s="46"/>
      <c r="J6" s="45" t="str">
        <f>_xlfn.XLOOKUP(K5,mat!$A:$A, mat!$B:$B,"") &amp; ""</f>
        <v/>
      </c>
      <c r="K6" s="46"/>
      <c r="M6" s="45" t="str">
        <f>_xlfn.XLOOKUP(N5,mat!$A:$A, mat!$B:$B,"") &amp; ""</f>
        <v/>
      </c>
      <c r="N6" s="46"/>
      <c r="P6" s="45" t="str">
        <f>_xlfn.XLOOKUP(Q5,mat!$A:$A, mat!$B:$B,"") &amp; ""</f>
        <v/>
      </c>
      <c r="Q6" s="46"/>
      <c r="R6" s="1"/>
      <c r="S6" s="45" t="str">
        <f>_xlfn.XLOOKUP(T5,mat!$A:$A, mat!$B:$B,"") &amp; ""</f>
        <v/>
      </c>
      <c r="T6" s="46"/>
      <c r="U6" s="1"/>
      <c r="V6" s="45" t="str">
        <f>_xlfn.XLOOKUP(W5,mat!$A:$A, mat!$B:$B,"") &amp; ""</f>
        <v/>
      </c>
      <c r="W6" s="46"/>
      <c r="X6" s="1"/>
      <c r="Y6" s="45" t="str">
        <f>_xlfn.XLOOKUP(Z5,mat!$A:$A, mat!$B:$B,"") &amp; ""</f>
        <v/>
      </c>
      <c r="Z6" s="46"/>
      <c r="AA6" s="1"/>
      <c r="AB6" s="45" t="str">
        <f>_xlfn.XLOOKUP(AC5,mat!$A:$A, mat!$B:$B,"") &amp; ""</f>
        <v/>
      </c>
      <c r="AC6" s="46"/>
      <c r="AE6" s="45" t="str">
        <f>_xlfn.XLOOKUP(AF5,mat!$A:$A, mat!$B:$B,"") &amp; ""</f>
        <v/>
      </c>
      <c r="AF6" s="46"/>
      <c r="AG6" s="1"/>
      <c r="AH6" s="45" t="str">
        <f>_xlfn.XLOOKUP(AI5,mat!$A:$A, mat!$B:$B,"") &amp; ""</f>
        <v/>
      </c>
      <c r="AI6" s="46"/>
      <c r="AJ6" s="1"/>
      <c r="AK6" s="45" t="str">
        <f>_xlfn.XLOOKUP(AL5,mat!$A:$A, mat!$B:$B,"") &amp; ""</f>
        <v/>
      </c>
      <c r="AL6" s="46"/>
      <c r="AM6" s="1"/>
      <c r="AN6" s="45" t="str">
        <f>_xlfn.XLOOKUP(AO5,mat!$A:$A, mat!$B:$B,"") &amp; ""</f>
        <v/>
      </c>
      <c r="AO6" s="46"/>
      <c r="AP6" s="1"/>
      <c r="AQ6" s="45" t="str">
        <f>_xlfn.XLOOKUP(AR5,mat!$A:$A, mat!$B:$B,"") &amp; ""</f>
        <v/>
      </c>
      <c r="AR6" s="4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40</v>
      </c>
      <c r="D8" s="3">
        <f>A9+24</f>
        <v>67</v>
      </c>
      <c r="E8" s="3">
        <v>40</v>
      </c>
      <c r="G8" s="3">
        <v>0</v>
      </c>
      <c r="H8" s="3">
        <v>26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f>110/2-12</f>
        <v>43</v>
      </c>
      <c r="B9" s="3">
        <v>40</v>
      </c>
      <c r="D9" s="3">
        <v>110</v>
      </c>
      <c r="E9" s="3">
        <v>40</v>
      </c>
      <c r="G9" s="3">
        <v>42.8</v>
      </c>
      <c r="H9" s="3">
        <v>26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>
        <v>43</v>
      </c>
      <c r="H10" s="3">
        <v>22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>
        <v>43.2</v>
      </c>
      <c r="H11" s="3">
        <v>26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>
        <v>66.8</v>
      </c>
      <c r="H12" s="3">
        <v>26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>
        <v>67</v>
      </c>
      <c r="H13" s="3">
        <v>22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67.2</v>
      </c>
      <c r="H14" s="3">
        <v>26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110</v>
      </c>
      <c r="H15" s="3">
        <v>26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D33" sqref="D3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56</v>
      </c>
      <c r="H3" s="37" t="s">
        <v>97</v>
      </c>
      <c r="I3" s="38">
        <v>56</v>
      </c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>
        <v>0</v>
      </c>
      <c r="F5" s="3">
        <v>40</v>
      </c>
      <c r="H5" s="3">
        <f>E6+24</f>
        <v>67</v>
      </c>
      <c r="I5" s="3">
        <v>40</v>
      </c>
      <c r="K5" s="3"/>
      <c r="L5" s="3"/>
      <c r="N5" s="3"/>
      <c r="O5" s="3"/>
      <c r="Q5" s="3"/>
      <c r="R5" s="3"/>
    </row>
    <row r="6" spans="2:18" x14ac:dyDescent="0.2">
      <c r="B6" s="3"/>
      <c r="C6" s="3"/>
      <c r="E6" s="3">
        <f>110/2-12</f>
        <v>43</v>
      </c>
      <c r="F6" s="3">
        <v>40</v>
      </c>
      <c r="H6" s="3">
        <v>110</v>
      </c>
      <c r="I6" s="3">
        <v>40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2026-02-05T04:16:22Z</dcterms:modified>
</cp:coreProperties>
</file>