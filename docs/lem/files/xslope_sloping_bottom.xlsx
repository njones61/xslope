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<sst xmlns="http://schemas.openxmlformats.org/spreadsheetml/2006/main" count="602" uniqueCount="319">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</sst>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/>
      <c r="E12" s="3" t="inlineStr">
        <is>
          <t>mc</t>
        </is>
      </c>
      <c r="F12" s="3">
        <v>800.0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embankment</v>
      </c>
      <c r="B6" s="57"/>
      <c r="D6" s="56" t="str">
        <f>_xlfn.XLOOKUP(E5,mat!$A:$A, mat!$B:$B,"") &amp; ""</f>
        <v>foundation</v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embankment</v>
      </c>
      <c r="B7" s="57"/>
      <c r="D7" s="58" t="str">
        <f>IF(OR(E5="",E5="material"),_xlfn.XLOOKUP(E6,mat!$A:$A, mat!$B:$B,"") &amp; "","")</f>
        <v>foundation</v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>
        <v>-50.0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40.0</v>
      </c>
      <c r="B11" s="3">
        <v>20.0</v>
      </c>
      <c r="D11" s="3">
        <v>120.0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120.0</v>
      </c>
      <c r="B12" s="3">
        <v>20.0</v>
      </c>
      <c r="D12" s="3">
        <v>120.0</v>
      </c>
      <c r="E12" s="3">
        <v>-5.0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120.0</v>
      </c>
      <c r="B13" s="3">
        <v>0.0</v>
      </c>
      <c r="D13" s="3">
        <v>-50.0</v>
      </c>
      <c r="E13" s="3">
        <v>-15.0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-10.7886798411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