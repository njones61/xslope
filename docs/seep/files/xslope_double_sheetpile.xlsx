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/files/"/>
    </mc:Choice>
  </mc:AlternateContent>
  <xr:revisionPtr revIDLastSave="0" documentId="13_ncr:1_{7F3BBEEF-FA71-FE42-B3F9-FF0AF994374B}" xr6:coauthVersionLast="47" xr6:coauthVersionMax="47" xr10:uidLastSave="{00000000-0000-0000-0000-000000000000}"/>
  <bookViews>
    <workbookView xWindow="27160" yWindow="2780" windowWidth="3786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3" l="1"/>
  <c r="S9" i="3" s="1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<sst xmlns="http://schemas.openxmlformats.org/spreadsheetml/2006/main" count="276" uniqueCount="154">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</sst>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39.9</c:v>
                </c:pt>
                <c:pt idx="2">
                  <c:v>40</c:v>
                </c:pt>
                <c:pt idx="3">
                  <c:v>40.1</c:v>
                </c:pt>
                <c:pt idx="4">
                  <c:v>59.9</c:v>
                </c:pt>
                <c:pt idx="5">
                  <c:v>60</c:v>
                </c:pt>
                <c:pt idx="6">
                  <c:v>60.1</c:v>
                </c:pt>
                <c:pt idx="7">
                  <c:v>100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39.9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60.1</c:v>
                </c:pt>
                <c:pt idx="1">
                  <c:v>100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C27" sqref="C2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R9" sqref="R9:V9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>0.0001/(12*2.54)*(3600*24)</f>
        <v>0.28346456692913385</v>
      </c>
      <c r="S9" s="3">
        <f>R9</f>
        <v>0.28346456692913385</v>
      </c>
      <c r="T9" s="3">
        <v>0</v>
      </c>
      <c r="U9" s="3">
        <v>1E-3</v>
      </c>
      <c r="V9" s="3">
        <v>-1</v>
      </c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9" priority="4">
      <formula>$D9="cp"</formula>
    </cfRule>
  </conditionalFormatting>
  <conditionalFormatting sqref="G9:H50">
    <cfRule type="expression" dxfId="8" priority="3">
      <formula>$D9="mc"</formula>
    </cfRule>
  </conditionalFormatting>
  <conditionalFormatting sqref="I9:J50">
    <cfRule type="expression" dxfId="7" priority="5">
      <formula>$D9="cp"</formula>
    </cfRule>
  </conditionalFormatting>
  <conditionalFormatting sqref="M9:N50">
    <cfRule type="expression" dxfId="6" priority="7">
      <formula>$D9="cp"</formula>
    </cfRule>
  </conditionalFormatting>
  <conditionalFormatting sqref="O9:O50">
    <cfRule type="expression" dxfId="5" priority="14">
      <formula>$D9="mc"</formula>
    </cfRule>
  </conditionalFormatting>
  <conditionalFormatting sqref="P9:Q50">
    <cfRule type="expression" dxfId="4" priority="9">
      <formula>$D9="cp"</formula>
    </cfRule>
  </conditionalFormatting>
  <conditionalFormatting sqref="R9:V9">
    <cfRule type="expression" dxfId="3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5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silt</v>
      </c>
      <c r="B6" s="47"/>
      <c r="D6" s="46" t="str">
        <f>_xlfn.XLOOKUP(E5,mat!$A:$A, mat!$B:$B,"") &amp; ""</f>
        <v/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39.9</v>
      </c>
      <c r="B9" s="3">
        <v>20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40</v>
      </c>
      <c r="B10" s="3">
        <v>10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40.1</v>
      </c>
      <c r="B11" s="3">
        <v>20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59.9</v>
      </c>
      <c r="B12" s="3">
        <v>20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60</v>
      </c>
      <c r="B13" s="3">
        <v>10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60.1</v>
      </c>
      <c r="B14" s="3">
        <v>20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100</v>
      </c>
      <c r="B15" s="3">
        <v>20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" sqref="D1:H104857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4C901D5D-F9E3-564B-9727-9F91D22A3468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F4" sqref="F4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40</v>
      </c>
      <c r="H3" s="37" t="s">
        <v>97</v>
      </c>
      <c r="I3" s="38">
        <v>20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0</v>
      </c>
      <c r="F5" s="3">
        <v>20</v>
      </c>
      <c r="H5" s="3">
        <v>60.1</v>
      </c>
      <c r="I5" s="3">
        <v>20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v>39.9</v>
      </c>
      <c r="F6" s="3">
        <v>20</v>
      </c>
      <c r="H6" s="3">
        <v>100</v>
      </c>
      <c r="I6" s="3">
        <v>20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2026-01-23T15:39:21Z</dcterms:modified>
</cp:coreProperties>
</file>