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5"/>
  </bookViews>
  <sheets>
    <sheet name="main" sheetId="1" state="visible" r:id="rId3"/>
    <sheet name="plot" sheetId="2" state="visible" r:id="rId4"/>
    <sheet name="mat" sheetId="3" state="visible" r:id="rId5"/>
    <sheet name="profile" sheetId="4" state="visible" r:id="rId6"/>
    <sheet name="piezo" sheetId="5" state="visible" r:id="rId7"/>
    <sheet name="circles" sheetId="6" state="visible" r:id="rId8"/>
    <sheet name="non-circ" sheetId="7" state="visible" r:id="rId9"/>
    <sheet name="dloads" sheetId="8" state="visible" r:id="rId10"/>
    <sheet name="dloads (2)" sheetId="9" state="visible" r:id="rId11"/>
    <sheet name="reinforce" sheetId="10" state="visible" r:id="rId12"/>
    <sheet name="seep bc" sheetId="11" state="visible" r:id="rId13"/>
    <sheet name="seep bc (2)" sheetId="12" state="visible" r:id="rId14"/>
  </sheets>
  <definedNames>
    <definedName function="false" hidden="false" name="crack_depth" vbProcedure="false">main!$D$9</definedName>
    <definedName function="false" hidden="false" name="crack_depth_water" vbProcedure="false">main!$D$10</definedName>
    <definedName function="false" hidden="false" name="gamma_w" vbProcedure="false">main!$D$8</definedName>
    <definedName function="false" hidden="false" name="k" vbProcedure="false">main!$D$11</definedName>
    <definedName function="false" hidden="false" name="max_depth" vbProcedure="false">profile!$B$2</definedName>
    <definedName function="false" hidden="false" name="mesh" vbProcedure="false">mat!#ref!</definedName>
    <definedName function="false" hidden="false" name="solution1" vbProcedure="false">mat!#ref!</definedName>
    <definedName function="false" hidden="false" name="solution2" vbProcedure="false">mat!#ref!</definedName>
    <definedName function="false" hidden="false" name="version" vbProcedure="false">main!$D$5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<sst xmlns="http://schemas.openxmlformats.org/spreadsheetml/2006/main" count="285" uniqueCount="156">
  <si>
    <t xml:space="preserve">XSLOPE Input Template</t>
  </si>
  <si>
    <t xml:space="preserve">Instructions: Copy this template and fill out the inputs in each  sheet/tab as appropriate.</t>
  </si>
  <si>
    <t xml:space="preserve">Template version:</t>
  </si>
  <si>
    <t xml:space="preserve">Global Options</t>
  </si>
  <si>
    <t xml:space="preserve">Sheet</t>
  </si>
  <si>
    <t xml:space="preserve">Description</t>
  </si>
  <si>
    <t xml:space="preserve">Unit weight of water: </t>
  </si>
  <si>
    <t xml:space="preserve">plot</t>
  </si>
  <si>
    <t xml:space="preserve">Plot of geometric inputs from other sheets</t>
  </si>
  <si>
    <t xml:space="preserve">Tension crack depth:</t>
  </si>
  <si>
    <t xml:space="preserve">mat</t>
  </si>
  <si>
    <t xml:space="preserve">Material properties. One per set per profile line</t>
  </si>
  <si>
    <t xml:space="preserve">Depth of water in crack:</t>
  </si>
  <si>
    <t xml:space="preserve">profile</t>
  </si>
  <si>
    <t xml:space="preserve">Profile lines describing the slope geometry</t>
  </si>
  <si>
    <t xml:space="preserve">Seismic coefficient (k): </t>
  </si>
  <si>
    <t xml:space="preserve">piezo</t>
  </si>
  <si>
    <t xml:space="preserve">Piezometric line to define pore pressures</t>
  </si>
  <si>
    <t xml:space="preserve">circles</t>
  </si>
  <si>
    <t xml:space="preserve">Starting  circles for critical circle search</t>
  </si>
  <si>
    <t xml:space="preserve">noncirc</t>
  </si>
  <si>
    <t xml:space="preserve">Non-circular failure surface</t>
  </si>
  <si>
    <t xml:space="preserve">dloads</t>
  </si>
  <si>
    <t xml:space="preserve">Distributed loads</t>
  </si>
  <si>
    <t xml:space="preserve">dloads (2)</t>
  </si>
  <si>
    <t xml:space="preserve">Distributed loads for stage 2 of multistage analysis</t>
  </si>
  <si>
    <t xml:space="preserve">reinforce</t>
  </si>
  <si>
    <t xml:space="preserve">Reinforcement lines</t>
  </si>
  <si>
    <t xml:space="preserve">seep bc</t>
  </si>
  <si>
    <t xml:space="preserve">Seepage boundary conditions</t>
  </si>
  <si>
    <t xml:space="preserve">seep bc (2)</t>
  </si>
  <si>
    <t xml:space="preserve">Seepage boundary conditions for stage 2 of multistage analysis</t>
  </si>
  <si>
    <t xml:space="preserve">Strength options</t>
  </si>
  <si>
    <t xml:space="preserve">Pore presssue (u) options</t>
  </si>
  <si>
    <t xml:space="preserve">mc</t>
  </si>
  <si>
    <t xml:space="preserve">Traditional Mohr-Coulomb failure envelope (c and phi)</t>
  </si>
  <si>
    <t xml:space="preserve">none</t>
  </si>
  <si>
    <t xml:space="preserve">No pore pressures (total stress analysis)</t>
  </si>
  <si>
    <t xml:space="preserve">cp</t>
  </si>
  <si>
    <t xml:space="preserve">c/p ratio with reference elevation</t>
  </si>
  <si>
    <t xml:space="preserve">Use piezometric line</t>
  </si>
  <si>
    <t xml:space="preserve">seep</t>
  </si>
  <si>
    <t xml:space="preserve">Use seepage solution</t>
  </si>
  <si>
    <t xml:space="preserve">Base Values</t>
  </si>
  <si>
    <t xml:space="preserve">Standard Deviations</t>
  </si>
  <si>
    <t xml:space="preserve">Seepage</t>
  </si>
  <si>
    <t xml:space="preserve">Stress</t>
  </si>
  <si>
    <t xml:space="preserve">name</t>
  </si>
  <si>
    <t xml:space="preserve">g</t>
  </si>
  <si>
    <t xml:space="preserve">option</t>
  </si>
  <si>
    <t xml:space="preserve">c</t>
  </si>
  <si>
    <t xml:space="preserve">f</t>
  </si>
  <si>
    <t xml:space="preserve">c/p</t>
  </si>
  <si>
    <t xml:space="preserve">r-elev</t>
  </si>
  <si>
    <t xml:space="preserve">d</t>
  </si>
  <si>
    <t xml:space="preserve">psi</t>
  </si>
  <si>
    <t xml:space="preserve">u</t>
  </si>
  <si>
    <t xml:space="preserve">s(g)</t>
  </si>
  <si>
    <t xml:space="preserve">s(c)</t>
  </si>
  <si>
    <t xml:space="preserve">s(f)</t>
  </si>
  <si>
    <t xml:space="preserve">s(c/p)</t>
  </si>
  <si>
    <t xml:space="preserve">s(d)</t>
  </si>
  <si>
    <t xml:space="preserve">s(psi)</t>
  </si>
  <si>
    <t xml:space="preserve">k1</t>
  </si>
  <si>
    <t xml:space="preserve">k2</t>
  </si>
  <si>
    <t xml:space="preserve">alpha</t>
  </si>
  <si>
    <t xml:space="preserve">kr0</t>
  </si>
  <si>
    <t xml:space="preserve">h0</t>
  </si>
  <si>
    <t xml:space="preserve">E</t>
  </si>
  <si>
    <t xml:space="preserve">n</t>
  </si>
  <si>
    <t xml:space="preserve">shell</t>
  </si>
  <si>
    <t xml:space="preserve">core</t>
  </si>
  <si>
    <t xml:space="preserve">foundation</t>
  </si>
  <si>
    <t xml:space="preserve">Max Depth:</t>
  </si>
  <si>
    <t xml:space="preserve">max depth defines the elevation of a horizontal line that is treated as the bottom of the profile</t>
  </si>
  <si>
    <t xml:space="preserve">Profile Line #1</t>
  </si>
  <si>
    <t xml:space="preserve">Profile Line #2</t>
  </si>
  <si>
    <t xml:space="preserve">Profile Line #3</t>
  </si>
  <si>
    <t xml:space="preserve">Profile Line #4</t>
  </si>
  <si>
    <t xml:space="preserve">Profile Line #5</t>
  </si>
  <si>
    <t xml:space="preserve">Profile Line #6</t>
  </si>
  <si>
    <t xml:space="preserve">Profile Line #7</t>
  </si>
  <si>
    <t xml:space="preserve">Profile Line #8</t>
  </si>
  <si>
    <t xml:space="preserve">Profile Line #9</t>
  </si>
  <si>
    <t xml:space="preserve">Profile Line #10</t>
  </si>
  <si>
    <t xml:space="preserve">Profile Line #11</t>
  </si>
  <si>
    <t xml:space="preserve">Profile Line #12</t>
  </si>
  <si>
    <t xml:space="preserve">Profile Line #13</t>
  </si>
  <si>
    <t xml:space="preserve">Profile Line #14</t>
  </si>
  <si>
    <t xml:space="preserve">Profile Line #15</t>
  </si>
  <si>
    <t xml:space="preserve">Mat ID:</t>
  </si>
  <si>
    <t xml:space="preserve">x</t>
  </si>
  <si>
    <t xml:space="preserve">y</t>
  </si>
  <si>
    <t xml:space="preserve">Piezometric Line 1</t>
  </si>
  <si>
    <t xml:space="preserve">Piezometric Line 2</t>
  </si>
  <si>
    <t xml:space="preserve">* piezometric line 2 is only required for rapid drawdown analysis</t>
  </si>
  <si>
    <t xml:space="preserve">#</t>
  </si>
  <si>
    <t xml:space="preserve">Xo</t>
  </si>
  <si>
    <t xml:space="preserve">Yo</t>
  </si>
  <si>
    <t xml:space="preserve">Option</t>
  </si>
  <si>
    <t xml:space="preserve">Depth</t>
  </si>
  <si>
    <t xml:space="preserve">Xi</t>
  </si>
  <si>
    <t xml:space="preserve">Yi</t>
  </si>
  <si>
    <t xml:space="preserve">R</t>
  </si>
  <si>
    <t xml:space="preserve">Options</t>
  </si>
  <si>
    <t xml:space="preserve">Depth of the bottom of the circle</t>
  </si>
  <si>
    <t xml:space="preserve">Intercept</t>
  </si>
  <si>
    <t xml:space="preserve">Circle passes through intercept point defined by Xi, Yi</t>
  </si>
  <si>
    <t xml:space="preserve">Radius</t>
  </si>
  <si>
    <t xml:space="preserve">Specified radius, R</t>
  </si>
  <si>
    <t xml:space="preserve">X</t>
  </si>
  <si>
    <t xml:space="preserve">Y</t>
  </si>
  <si>
    <t xml:space="preserve">Movement</t>
  </si>
  <si>
    <t xml:space="preserve">Free</t>
  </si>
  <si>
    <t xml:space="preserve">Unrestricted movement</t>
  </si>
  <si>
    <t xml:space="preserve">Horiz</t>
  </si>
  <si>
    <t xml:space="preserve">Horizontal only</t>
  </si>
  <si>
    <t xml:space="preserve">Fixed</t>
  </si>
  <si>
    <t xml:space="preserve">Does not move</t>
  </si>
  <si>
    <t xml:space="preserve">Distributed Load #1</t>
  </si>
  <si>
    <t xml:space="preserve">Distributed Load #2</t>
  </si>
  <si>
    <t xml:space="preserve">Distributed Load #3</t>
  </si>
  <si>
    <t xml:space="preserve">Distributed Load #4</t>
  </si>
  <si>
    <t xml:space="preserve">Distributed Load #5</t>
  </si>
  <si>
    <t xml:space="preserve">Distributed Load #6</t>
  </si>
  <si>
    <t xml:space="preserve">N</t>
  </si>
  <si>
    <t xml:space="preserve">Distributed Load #1 (2)</t>
  </si>
  <si>
    <t xml:space="preserve">Distributed Load #2 (2)</t>
  </si>
  <si>
    <t xml:space="preserve">Distributed Load #3 (2)</t>
  </si>
  <si>
    <t xml:space="preserve">Distributed Load #4 (2)</t>
  </si>
  <si>
    <t xml:space="preserve">Distributed Load #5 (2)</t>
  </si>
  <si>
    <t xml:space="preserve">Distributed Load #6 (2)</t>
  </si>
  <si>
    <t xml:space="preserve">x1</t>
  </si>
  <si>
    <t xml:space="preserve">y1</t>
  </si>
  <si>
    <t xml:space="preserve">x2</t>
  </si>
  <si>
    <t xml:space="preserve">y2</t>
  </si>
  <si>
    <t xml:space="preserve">Tmax</t>
  </si>
  <si>
    <t xml:space="preserve">Tres</t>
  </si>
  <si>
    <t xml:space="preserve">Lp1</t>
  </si>
  <si>
    <t xml:space="preserve">Lp2</t>
  </si>
  <si>
    <t xml:space="preserve">Area</t>
  </si>
  <si>
    <t xml:space="preserve">Required for both LEM and FEM</t>
  </si>
  <si>
    <t xml:space="preserve">Required for FEM only</t>
  </si>
  <si>
    <t xml:space="preserve">Exit Face</t>
  </si>
  <si>
    <t xml:space="preserve">Specified Head #1</t>
  </si>
  <si>
    <t xml:space="preserve">Specified Head #2</t>
  </si>
  <si>
    <t xml:space="preserve">Specified Head #3</t>
  </si>
  <si>
    <t xml:space="preserve">Specified Head #4</t>
  </si>
  <si>
    <t xml:space="preserve">Specified Head #5</t>
  </si>
  <si>
    <t xml:space="preserve">Head:</t>
  </si>
  <si>
    <t xml:space="preserve">Exit Face (2)</t>
  </si>
  <si>
    <t xml:space="preserve">Specified Head #1 (2)</t>
  </si>
  <si>
    <t xml:space="preserve">Specified Head #2 (2)</t>
  </si>
  <si>
    <t xml:space="preserve">Specified Head #3 (2)</t>
  </si>
  <si>
    <t xml:space="preserve">Specified Head #4 (2)</t>
  </si>
  <si>
    <t xml:space="preserve">Specified Head #5 (2)</t>
  </si>
</sst>
</file>

<file path=xl/styles.xml><?xml version="1.0" encoding="utf-8"?>
<styleSheet xmlns="http://schemas.openxmlformats.org/spreadsheetml/2006/main">
  <numFmts count="1">
    <numFmt numFmtId="164" formatCode="General"/>
  </numFmts>
  <fonts count="20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theme="1"/>
      <name val="Aptos Narrow"/>
      <family val="0"/>
      <charset val="1"/>
    </font>
    <font>
      <sz val="14"/>
      <color rgb="FF000000"/>
      <name val="Aptos Narrow"/>
      <family val="0"/>
      <charset val="1"/>
    </font>
    <font>
      <b val="true"/>
      <sz val="12"/>
      <color theme="0"/>
      <name val="Aptos Narrow"/>
      <family val="0"/>
      <charset val="1"/>
    </font>
    <font>
      <sz val="9"/>
      <color rgb="FF595959"/>
      <name val="Aptos Narrow"/>
      <family val="2"/>
    </font>
    <font>
      <b val="true"/>
      <sz val="12"/>
      <color theme="1"/>
      <name val="Aptos Narrow"/>
      <family val="0"/>
      <charset val="1"/>
    </font>
    <font>
      <sz val="12"/>
      <color theme="0"/>
      <name val="Aptos Narrow"/>
      <family val="2"/>
      <charset val="1"/>
    </font>
    <font>
      <sz val="12"/>
      <color theme="0"/>
      <name val="Aptos Narrow"/>
      <family val="0"/>
      <charset val="1"/>
    </font>
    <font>
      <sz val="12"/>
      <color theme="0"/>
      <name val="Symbol"/>
      <family val="0"/>
      <charset val="2"/>
    </font>
    <font>
      <i val="true"/>
      <sz val="12"/>
      <color theme="1"/>
      <name val="Aptos Narrow"/>
      <family val="0"/>
      <charset val="1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11"/>
      <color rgb="FFFF0000"/>
      <name val="Aptos Narrow"/>
      <family val="2"/>
      <charset val="1"/>
    </font>
    <font>
      <sz val="12"/>
      <color rgb="FF000000"/>
      <name val="Aptos Narrow"/>
      <family val="2"/>
      <charset val="1"/>
    </font>
    <font>
      <i val="true"/>
      <sz val="11"/>
      <color theme="1"/>
      <name val="Aptos Narrow"/>
      <family val="0"/>
      <charset val="1"/>
    </font>
    <font>
      <b val="true"/>
      <sz val="11"/>
      <color theme="0"/>
      <name val="Aptos Narrow"/>
      <family val="0"/>
      <charset val="1"/>
    </font>
    <font>
      <sz val="11"/>
      <color theme="1"/>
      <name val="Aptos Narrow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theme="1"/>
        <bgColor rgb="FF171717"/>
      </patternFill>
    </fill>
    <fill>
      <patternFill patternType="solid">
        <fgColor rgb="FF0432FF"/>
        <bgColor rgb="FF0071BF"/>
      </patternFill>
    </fill>
    <fill>
      <patternFill patternType="darkGray">
        <fgColor theme="9" tint="-0.25"/>
        <bgColor rgb="FF3E8625"/>
      </patternFill>
    </fill>
    <fill>
      <patternFill patternType="solid">
        <fgColor theme="8" tint="-0.25"/>
        <bgColor rgb="FF701E67"/>
      </patternFill>
    </fill>
    <fill>
      <patternFill patternType="solid">
        <fgColor rgb="FFFF0000"/>
        <bgColor rgb="FFC00000"/>
      </patternFill>
    </fill>
    <fill>
      <patternFill patternType="solid">
        <fgColor theme="2"/>
        <bgColor rgb="FFFBE3D6"/>
      </patternFill>
    </fill>
    <fill>
      <patternFill patternType="solid">
        <fgColor rgb="FF0071BF"/>
        <bgColor rgb="FF0C6486"/>
      </patternFill>
    </fill>
    <fill>
      <patternFill patternType="solid">
        <fgColor rgb="FFC00000"/>
        <bgColor rgb="FFFF0000"/>
      </patternFill>
    </fill>
    <fill>
      <patternFill patternType="solid">
        <fgColor theme="2" tint="-0.9"/>
        <bgColor rgb="FF000000"/>
      </patternFill>
    </fill>
    <fill>
      <patternFill patternType="solid">
        <fgColor theme="5" tint="-0.25"/>
        <bgColor rgb="FFCC5516"/>
      </patternFill>
    </fill>
    <fill>
      <patternFill patternType="solid">
        <fgColor theme="7" tint="0.7999"/>
        <bgColor rgb="FFE8E8E8"/>
      </patternFill>
    </fill>
    <fill>
      <patternFill patternType="solid">
        <fgColor theme="0"/>
        <bgColor rgb="FFE8E8E8"/>
      </patternFill>
    </fill>
    <fill>
      <patternFill patternType="solid">
        <fgColor theme="9"/>
        <bgColor rgb="FF3E8625"/>
      </patternFill>
    </fill>
    <fill>
      <patternFill patternType="solid">
        <fgColor theme="5" tint="0.7999"/>
        <bgColor rgb="FFE8E8E8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8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9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theme="0" tint="-0.5"/>
        </patternFill>
      </fill>
    </dxf>
    <dxf>
      <fill>
        <patternFill>
          <bgColor theme="2" tint="-0.5"/>
        </patternFill>
      </fill>
    </dxf>
    <dxf>
      <fill>
        <patternFill>
          <bgColor theme="1" tint="0.4999"/>
        </patternFill>
      </fill>
    </dxf>
  </dxfs>
  <colors>
    <indexedColors>
      <rgbColor rgb="FF000000"/>
      <rgbColor rgb="FFFFFFFF"/>
      <rgbColor rgb="FFFF0000"/>
      <rgbColor rgb="FF36D04F"/>
      <rgbColor rgb="FF0432FF"/>
      <rgbColor rgb="FFCC5516"/>
      <rgbColor rgb="FFCB3DBB"/>
      <rgbColor rgb="FF61CBF4"/>
      <rgbColor rgb="FFC00000"/>
      <rgbColor rgb="FF1C691F"/>
      <rgbColor rgb="FF155218"/>
      <rgbColor rgb="FF3E8625"/>
      <rgbColor rgb="FF78206E"/>
      <rgbColor rgb="FF0C6486"/>
      <rgbColor rgb="FFA3B2A3"/>
      <rgbColor rgb="FF808080"/>
      <rgbColor rgb="FF64BEE6"/>
      <rgbColor rgb="FFA02B93"/>
      <rgbColor rgb="FFFBE3D6"/>
      <rgbColor rgb="FFCAEEFB"/>
      <rgbColor rgb="FF601A58"/>
      <rgbColor rgb="FFED8D5B"/>
      <rgbColor rgb="FF0071BF"/>
      <rgbColor rgb="FF8ED973"/>
      <rgbColor rgb="FF3A7C22"/>
      <rgbColor rgb="FFD156C4"/>
      <rgbColor rgb="FFC04F15"/>
      <rgbColor rgb="FF66DB76"/>
      <rgbColor rgb="FF701E67"/>
      <rgbColor rgb="FF80350E"/>
      <rgbColor rgb="FF139CD7"/>
      <rgbColor rgb="FFB34A13"/>
      <rgbColor rgb="FF46B1E1"/>
      <rgbColor rgb="FFE8E8E8"/>
      <rgbColor rgb="FFA1DF8B"/>
      <rgbColor rgb="FFD86ECC"/>
      <rgbColor rgb="FF7BD4F6"/>
      <rgbColor rgb="FFF2AA84"/>
      <rgbColor rgb="FFDE86D5"/>
      <rgbColor rgb="FFF4B898"/>
      <rgbColor rgb="FF595959"/>
      <rgbColor rgb="FF35BFF2"/>
      <rgbColor rgb="FF7BD25C"/>
      <rgbColor rgb="FF68CC45"/>
      <rgbColor rgb="FFF09C6F"/>
      <rgbColor rgb="FFE97132"/>
      <rgbColor rgb="FF747474"/>
      <rgbColor rgb="FF7F7F7F"/>
      <rgbColor rgb="FF0C354A"/>
      <rgbColor rgb="FF45A72F"/>
      <rgbColor rgb="FF0D3913"/>
      <rgbColor rgb="FF171717"/>
      <rgbColor rgb="FF994010"/>
      <rgbColor rgb="FF802276"/>
      <rgbColor rgb="FF104D67"/>
      <rgbColor rgb="FF50164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solidFill>
              <a:srgbClr val="156082"/>
            </a:solidFill>
            <a:ln cap="rnd" w="19080">
              <a:solidFill>
                <a:srgbClr val="156082"/>
              </a:solidFill>
              <a:round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profile!$A$8:$A$27</c:f>
              <c:numCache>
                <c:formatCode>General</c:formatCode>
                <c:ptCount val="20"/>
                <c:pt idx="0">
                  <c:v>200</c:v>
                </c:pt>
                <c:pt idx="1">
                  <c:v>320</c:v>
                </c:pt>
                <c:pt idx="2">
                  <c:v>360</c:v>
                </c:pt>
                <c:pt idx="3">
                  <c:v>380</c:v>
                </c:pt>
                <c:pt idx="4">
                  <c:v>550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100</c:v>
                </c:pt>
                <c:pt idx="1">
                  <c:v>160</c:v>
                </c:pt>
                <c:pt idx="2">
                  <c:v>180</c:v>
                </c:pt>
                <c:pt idx="3">
                  <c:v>180</c:v>
                </c:pt>
                <c:pt idx="4">
                  <c:v>100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solidFill>
              <a:srgbClr val="e97132"/>
            </a:solidFill>
            <a:ln cap="rnd" w="19080">
              <a:solidFill>
                <a:srgbClr val="e97132"/>
              </a:solidFill>
              <a:round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profile!$D$8:$D$27</c:f>
              <c:numCache>
                <c:formatCode>General</c:formatCode>
                <c:ptCount val="20"/>
                <c:pt idx="0">
                  <c:v>320</c:v>
                </c:pt>
                <c:pt idx="1">
                  <c:v>360</c:v>
                </c:pt>
                <c:pt idx="2">
                  <c:v>380</c:v>
                </c:pt>
                <c:pt idx="3">
                  <c:v>420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100</c:v>
                </c:pt>
                <c:pt idx="1">
                  <c:v>165</c:v>
                </c:pt>
                <c:pt idx="2">
                  <c:v>165</c:v>
                </c:pt>
                <c:pt idx="3">
                  <c:v>100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solidFill>
              <a:srgbClr val="196b24"/>
            </a:solidFill>
            <a:ln cap="rnd" w="19080">
              <a:solidFill>
                <a:srgbClr val="196b24"/>
              </a:solidFill>
              <a:round/>
            </a:ln>
          </c:spPr>
          <c:marker>
            <c:symbol val="circle"/>
            <c:size val="5"/>
            <c:spPr>
              <a:solidFill>
                <a:srgbClr val="196b2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  <c:pt idx="2">
                  <c:v>360</c:v>
                </c:pt>
                <c:pt idx="3">
                  <c:v>380</c:v>
                </c:pt>
                <c:pt idx="4">
                  <c:v>420</c:v>
                </c:pt>
                <c:pt idx="5">
                  <c:v>750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60</c:v>
                </c:pt>
                <c:pt idx="3">
                  <c:v>60</c:v>
                </c:pt>
                <c:pt idx="4">
                  <c:v>100</c:v>
                </c:pt>
                <c:pt idx="5">
                  <c:v>100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solidFill>
              <a:srgbClr val="0f9ed5"/>
            </a:solidFill>
            <a:ln cap="rnd" w="19080">
              <a:solidFill>
                <a:srgbClr val="0f9ed5"/>
              </a:solidFill>
              <a:round/>
            </a:ln>
          </c:spPr>
          <c:marker>
            <c:symbol val="circle"/>
            <c:size val="5"/>
            <c:spPr>
              <a:solidFill>
                <a:srgbClr val="0f9e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solidFill>
              <a:srgbClr val="a02b93"/>
            </a:solidFill>
            <a:ln cap="rnd" w="19080">
              <a:solidFill>
                <a:srgbClr val="a02b93"/>
              </a:solidFill>
              <a:round/>
            </a:ln>
          </c:spPr>
          <c:marker>
            <c:symbol val="circle"/>
            <c:size val="5"/>
            <c:spPr>
              <a:solidFill>
                <a:srgbClr val="a02b93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solidFill>
              <a:srgbClr val="4ea72e"/>
            </a:solidFill>
            <a:ln cap="rnd" w="19080">
              <a:solidFill>
                <a:srgbClr val="4ea72e"/>
              </a:solidFill>
              <a:round/>
            </a:ln>
          </c:spPr>
          <c:marker>
            <c:symbol val="circle"/>
            <c:size val="5"/>
            <c:spPr>
              <a:solidFill>
                <a:srgbClr val="4ea72e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solidFill>
              <a:srgbClr val="0d3a4e"/>
            </a:solidFill>
            <a:ln cap="rnd" w="19080">
              <a:solidFill>
                <a:srgbClr val="0d3a4e"/>
              </a:solidFill>
              <a:round/>
            </a:ln>
          </c:spPr>
          <c:marker>
            <c:symbol val="circle"/>
            <c:size val="5"/>
            <c:spPr>
              <a:solidFill>
                <a:srgbClr val="0d3a4e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solidFill>
              <a:srgbClr val="994010"/>
            </a:solidFill>
            <a:ln cap="rnd" w="19080">
              <a:solidFill>
                <a:srgbClr val="994010"/>
              </a:solidFill>
              <a:round/>
            </a:ln>
          </c:spPr>
          <c:marker>
            <c:symbol val="circle"/>
            <c:size val="5"/>
            <c:spPr>
              <a:solidFill>
                <a:srgbClr val="994010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solidFill>
              <a:srgbClr val="0f4016"/>
            </a:solidFill>
            <a:ln cap="rnd" w="19080">
              <a:solidFill>
                <a:srgbClr val="0f4016"/>
              </a:solidFill>
              <a:round/>
            </a:ln>
          </c:spPr>
          <c:marker>
            <c:symbol val="circle"/>
            <c:size val="5"/>
            <c:spPr>
              <a:solidFill>
                <a:srgbClr val="0f4016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solidFill>
              <a:srgbClr val="095f80"/>
            </a:solidFill>
            <a:ln cap="rnd" w="19080">
              <a:solidFill>
                <a:srgbClr val="095f80"/>
              </a:solidFill>
              <a:round/>
            </a:ln>
          </c:spPr>
          <c:marker>
            <c:symbol val="circle"/>
            <c:size val="5"/>
            <c:spPr>
              <a:solidFill>
                <a:srgbClr val="095f80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solidFill>
              <a:srgbClr val="0b6f95"/>
            </a:solidFill>
            <a:ln cap="rnd" w="19080">
              <a:solidFill>
                <a:srgbClr val="0b6f95"/>
              </a:solidFill>
              <a:round/>
            </a:ln>
          </c:spPr>
          <c:marker>
            <c:symbol val="circle"/>
            <c:size val="5"/>
            <c:spPr>
              <a:solidFill>
                <a:srgbClr val="0b6f9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solidFill>
              <a:srgbClr val="701e67"/>
            </a:solidFill>
            <a:ln cap="rnd" w="19080">
              <a:solidFill>
                <a:srgbClr val="701e67"/>
              </a:solidFill>
              <a:round/>
            </a:ln>
          </c:spPr>
          <c:marker>
            <c:symbol val="circle"/>
            <c:size val="5"/>
            <c:spPr>
              <a:solidFill>
                <a:srgbClr val="701e67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solidFill>
              <a:srgbClr val="377520"/>
            </a:solidFill>
            <a:ln cap="rnd" w="19080">
              <a:solidFill>
                <a:srgbClr val="377520"/>
              </a:solidFill>
              <a:round/>
            </a:ln>
          </c:spPr>
          <c:marker>
            <c:symbol val="circle"/>
            <c:size val="5"/>
            <c:spPr>
              <a:solidFill>
                <a:srgbClr val="377520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solidFill>
              <a:srgbClr val="64bee6"/>
            </a:solidFill>
            <a:ln cap="rnd" w="19080">
              <a:solidFill>
                <a:srgbClr val="64bee6"/>
              </a:solidFill>
              <a:round/>
            </a:ln>
          </c:spPr>
          <c:marker>
            <c:symbol val="circle"/>
            <c:size val="5"/>
            <c:spPr>
              <a:solidFill>
                <a:srgbClr val="64bee6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solidFill>
              <a:srgbClr val="f4b898"/>
            </a:solidFill>
            <a:ln cap="rnd" w="19080">
              <a:solidFill>
                <a:srgbClr val="f4b898"/>
              </a:solidFill>
              <a:round/>
            </a:ln>
          </c:spPr>
          <c:marker>
            <c:symbol val="circle"/>
            <c:size val="5"/>
            <c:spPr>
              <a:solidFill>
                <a:srgbClr val="f4b898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15"/>
          <c:order val="15"/>
          <c:tx>
            <c:strRef>
              <c:f>"Piezometric Line"</c:f>
              <c:strCache>
                <c:ptCount val="1"/>
                <c:pt idx="0">
                  <c:v>Piezometric Line</c:v>
                </c:pt>
              </c:strCache>
            </c:strRef>
          </c:tx>
          <c:spPr>
            <a:solidFill>
              <a:srgbClr val="601a58"/>
            </a:solidFill>
            <a:ln cap="rnd" w="19080">
              <a:solidFill>
                <a:srgbClr val="601a58"/>
              </a:solidFill>
              <a:round/>
            </a:ln>
          </c:spPr>
          <c:marker>
            <c:symbol val="circle"/>
            <c:size val="5"/>
            <c:spPr>
              <a:solidFill>
                <a:srgbClr val="601a58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</c:ser>
        <c:ser>
          <c:idx val="16"/>
          <c:order val="16"/>
          <c:tx>
            <c:strRef>
              <c:f>"Piezometric Line #2"</c:f>
              <c:strCache>
                <c:ptCount val="1"/>
                <c:pt idx="0">
                  <c:v>Piezometric Line #2</c:v>
                </c:pt>
              </c:strCache>
            </c:strRef>
          </c:tx>
          <c:spPr>
            <a:solidFill>
              <a:srgbClr val="0c3512"/>
            </a:solidFill>
            <a:ln cap="rnd" w="19080">
              <a:solidFill>
                <a:srgbClr val="0c3512"/>
              </a:solidFill>
              <a:round/>
            </a:ln>
          </c:spPr>
          <c:marker>
            <c:symbol val="circle"/>
            <c:size val="5"/>
            <c:spPr>
              <a:solidFill>
                <a:srgbClr val="0c3512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</c:ser>
        <c:ser>
          <c:idx val="17"/>
          <c:order val="17"/>
          <c:tx>
            <c:strRef>
              <c:f>"Non-Circular Failure Surface"</c:f>
              <c:strCache>
                <c:ptCount val="1"/>
                <c:pt idx="0">
                  <c:v>Non-Circular Failure Surface</c:v>
                </c:pt>
              </c:strCache>
            </c:strRef>
          </c:tx>
          <c:spPr>
            <a:solidFill>
              <a:srgbClr val="2f641c"/>
            </a:solidFill>
            <a:ln cap="rnd" w="19080">
              <a:solidFill>
                <a:srgbClr val="2f641c"/>
              </a:solidFill>
              <a:round/>
            </a:ln>
          </c:spPr>
          <c:marker>
            <c:symbol val="circle"/>
            <c:size val="5"/>
            <c:spPr>
              <a:solidFill>
                <a:srgbClr val="2f641c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solidFill>
              <a:srgbClr val="1f8ec0"/>
            </a:solidFill>
            <a:ln cap="rnd" w="19080">
              <a:solidFill>
                <a:srgbClr val="1f8ec0"/>
              </a:solidFill>
              <a:round/>
            </a:ln>
          </c:spPr>
          <c:marker>
            <c:symbol val="circle"/>
            <c:size val="5"/>
            <c:spPr>
              <a:solidFill>
                <a:srgbClr val="1f8ec0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dloads!$B$4:$B$13</c:f>
              <c:numCache>
                <c:formatCode>General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320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100</c:v>
                </c:pt>
                <c:pt idx="1">
                  <c:v>100</c:v>
                </c:pt>
                <c:pt idx="2">
                  <c:v>160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solidFill>
              <a:srgbClr val="ed8d5b"/>
            </a:solidFill>
            <a:ln cap="rnd" w="19080">
              <a:solidFill>
                <a:srgbClr val="ed8d5b"/>
              </a:solidFill>
              <a:round/>
            </a:ln>
          </c:spPr>
          <c:marker>
            <c:symbol val="circle"/>
            <c:size val="5"/>
            <c:spPr>
              <a:solidFill>
                <a:srgbClr val="ed8d5b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solidFill>
              <a:srgbClr val="27a839"/>
            </a:solidFill>
            <a:ln cap="rnd" w="19080">
              <a:solidFill>
                <a:srgbClr val="27a839"/>
              </a:solidFill>
              <a:round/>
            </a:ln>
          </c:spPr>
          <c:marker>
            <c:symbol val="circle"/>
            <c:size val="5"/>
            <c:spPr>
              <a:solidFill>
                <a:srgbClr val="27a839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solidFill>
              <a:srgbClr val="2cbaf0"/>
            </a:solidFill>
            <a:ln cap="rnd" w="19080">
              <a:solidFill>
                <a:srgbClr val="2cbaf0"/>
              </a:solidFill>
              <a:round/>
            </a:ln>
          </c:spPr>
          <c:marker>
            <c:symbol val="circle"/>
            <c:size val="5"/>
            <c:spPr>
              <a:solidFill>
                <a:srgbClr val="2cbaf0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solidFill>
              <a:srgbClr val="cb3dbb"/>
            </a:solidFill>
            <a:ln cap="rnd" w="19080">
              <a:solidFill>
                <a:srgbClr val="cb3dbb"/>
              </a:solidFill>
              <a:round/>
            </a:ln>
          </c:spPr>
          <c:marker>
            <c:symbol val="circle"/>
            <c:size val="5"/>
            <c:spPr>
              <a:solidFill>
                <a:srgbClr val="cb3dbb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solidFill>
              <a:srgbClr val="68cc45"/>
            </a:solidFill>
            <a:ln cap="rnd" w="19080">
              <a:solidFill>
                <a:srgbClr val="68cc45"/>
              </a:solidFill>
              <a:round/>
            </a:ln>
          </c:spPr>
          <c:marker>
            <c:symbol val="circle"/>
            <c:size val="5"/>
            <c:spPr>
              <a:solidFill>
                <a:srgbClr val="68cc4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solidFill>
              <a:srgbClr val="114d68"/>
            </a:solidFill>
            <a:ln cap="rnd" w="19080">
              <a:solidFill>
                <a:srgbClr val="114d68"/>
              </a:solidFill>
              <a:round/>
            </a:ln>
          </c:spPr>
          <c:marker>
            <c:symbol val="circle"/>
            <c:size val="5"/>
            <c:spPr>
              <a:solidFill>
                <a:srgbClr val="114d68"/>
              </a:solidFill>
            </c:spPr>
          </c:marker>
          <c:dPt>
            <c:idx val="0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1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2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3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4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5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6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7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8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9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10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11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12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13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14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15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16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17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18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8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solidFill>
              <a:srgbClr val="cc5516"/>
            </a:solidFill>
            <a:ln cap="rnd" w="19080">
              <a:solidFill>
                <a:srgbClr val="cc5516"/>
              </a:solidFill>
              <a:round/>
            </a:ln>
          </c:spPr>
          <c:marker>
            <c:symbol val="circle"/>
            <c:size val="5"/>
            <c:spPr>
              <a:solidFill>
                <a:srgbClr val="cc5516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solidFill>
              <a:srgbClr val="156082"/>
            </a:solidFill>
            <a:ln cap="rnd" w="19080">
              <a:solidFill>
                <a:srgbClr val="156082"/>
              </a:solidFill>
              <a:round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solidFill>
              <a:srgbClr val="e97132"/>
            </a:solidFill>
            <a:ln cap="rnd" w="19080">
              <a:solidFill>
                <a:srgbClr val="e97132"/>
              </a:solidFill>
              <a:round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solidFill>
              <a:srgbClr val="196b24"/>
            </a:solidFill>
            <a:ln cap="rnd" w="19080">
              <a:solidFill>
                <a:srgbClr val="196b24"/>
              </a:solidFill>
              <a:round/>
            </a:ln>
          </c:spPr>
          <c:marker>
            <c:symbol val="circle"/>
            <c:size val="5"/>
            <c:spPr>
              <a:solidFill>
                <a:srgbClr val="196b2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solidFill>
              <a:srgbClr val="0f9ed5"/>
            </a:solidFill>
            <a:ln cap="rnd" w="19080">
              <a:solidFill>
                <a:srgbClr val="0f9ed5"/>
              </a:solidFill>
              <a:round/>
            </a:ln>
          </c:spPr>
          <c:marker>
            <c:symbol val="circle"/>
            <c:size val="5"/>
            <c:spPr>
              <a:solidFill>
                <a:srgbClr val="0f9e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</c:ser>
        <c:ser>
          <c:idx val="30"/>
          <c:order val="30"/>
          <c:tx>
            <c:strRef>
              <c:f>"Reinforce Line #1"</c:f>
              <c:strCache>
                <c:ptCount val="1"/>
                <c:pt idx="0">
                  <c:v>Reinforce Line #1</c:v>
                </c:pt>
              </c:strCache>
            </c:strRef>
          </c:tx>
          <c:spPr>
            <a:solidFill>
              <a:srgbClr val="14561d"/>
            </a:solidFill>
            <a:ln cap="rnd" w="19080">
              <a:solidFill>
                <a:srgbClr val="14561d"/>
              </a:solidFill>
              <a:round/>
            </a:ln>
          </c:spPr>
          <c:marker>
            <c:symbol val="circle"/>
            <c:size val="5"/>
            <c:spPr>
              <a:solidFill>
                <a:srgbClr val="14561d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reinforce!$B$3,reinforce!$D$3</c:f>
              <c:numCache>
                <c:formatCode>General</c:formatCode>
                <c:ptCount val="2"/>
              </c:numCache>
            </c:numRef>
          </c:xVal>
          <c:yVal>
            <c:numRef>
              <c:f>reinforce!$C$3,reinforce!$E$3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1"/>
          <c:order val="31"/>
          <c:tx>
            <c:strRef>
              <c:f>"Reinforce Line #2"</c:f>
              <c:strCache>
                <c:ptCount val="1"/>
                <c:pt idx="0">
                  <c:v>Reinforce Line #2</c:v>
                </c:pt>
              </c:strCache>
            </c:strRef>
          </c:tx>
          <c:spPr>
            <a:solidFill>
              <a:srgbClr val="0c7eaa"/>
            </a:solidFill>
            <a:ln cap="rnd" w="19080">
              <a:solidFill>
                <a:srgbClr val="0c7eaa"/>
              </a:solidFill>
              <a:round/>
            </a:ln>
          </c:spPr>
          <c:marker>
            <c:symbol val="circle"/>
            <c:size val="5"/>
            <c:spPr>
              <a:solidFill>
                <a:srgbClr val="0c7eaa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reinforce!$B$4,reinforce!$D$4</c:f>
              <c:numCache>
                <c:formatCode>General</c:formatCode>
                <c:ptCount val="2"/>
              </c:numCache>
            </c:numRef>
          </c:xVal>
          <c:yVal>
            <c:numRef>
              <c:f>reinforce!$C$4,reinforce!$C$4,reinforce!$C$4,reinforce!$E$4</c:f>
              <c:numCache>
                <c:formatCode>General</c:formatCode>
                <c:ptCount val="4"/>
              </c:numCache>
            </c:numRef>
          </c:yVal>
          <c:smooth val="0"/>
        </c:ser>
        <c:ser>
          <c:idx val="32"/>
          <c:order val="32"/>
          <c:tx>
            <c:strRef>
              <c:f>"Reinforce Line #3"</c:f>
              <c:strCache>
                <c:ptCount val="1"/>
                <c:pt idx="0">
                  <c:v>Reinforce Line #3</c:v>
                </c:pt>
              </c:strCache>
            </c:strRef>
          </c:tx>
          <c:spPr>
            <a:solidFill>
              <a:srgbClr val="802276"/>
            </a:solidFill>
            <a:ln cap="rnd" w="19080">
              <a:solidFill>
                <a:srgbClr val="802276"/>
              </a:solidFill>
              <a:round/>
            </a:ln>
          </c:spPr>
          <c:marker>
            <c:symbol val="circle"/>
            <c:size val="5"/>
            <c:spPr>
              <a:solidFill>
                <a:srgbClr val="802276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reinforce!$B$5,reinforce!$D$5</c:f>
              <c:numCache>
                <c:formatCode>General</c:formatCode>
                <c:ptCount val="2"/>
              </c:numCache>
            </c:numRef>
          </c:xVal>
          <c:yVal>
            <c:numRef>
              <c:f>reinforce!$C$5,reinforce!$E$5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3"/>
          <c:order val="33"/>
          <c:tx>
            <c:strRef>
              <c:f>"Reinforce Line #4"</c:f>
              <c:strCache>
                <c:ptCount val="1"/>
                <c:pt idx="0">
                  <c:v>Reinforce Line #4</c:v>
                </c:pt>
              </c:strCache>
            </c:strRef>
          </c:tx>
          <c:spPr>
            <a:solidFill>
              <a:srgbClr val="3e8625"/>
            </a:solidFill>
            <a:ln cap="rnd" w="19080">
              <a:solidFill>
                <a:srgbClr val="3e8625"/>
              </a:solidFill>
              <a:round/>
            </a:ln>
          </c:spPr>
          <c:marker>
            <c:symbol val="circle"/>
            <c:size val="5"/>
            <c:spPr>
              <a:solidFill>
                <a:srgbClr val="3e862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reinforce!$B$6,reinforce!$D$6</c:f>
              <c:numCache>
                <c:formatCode>General</c:formatCode>
                <c:ptCount val="2"/>
              </c:numCache>
            </c:numRef>
          </c:xVal>
          <c:yVal>
            <c:numRef>
              <c:f>reinforce!$C$6,reinforce!$E$6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4"/>
          <c:order val="34"/>
          <c:tx>
            <c:strRef>
              <c:f>"Reinforce Line #5"</c:f>
              <c:strCache>
                <c:ptCount val="1"/>
                <c:pt idx="0">
                  <c:v>Reinforce Line #5</c:v>
                </c:pt>
              </c:strCache>
            </c:strRef>
          </c:tx>
          <c:spPr>
            <a:solidFill>
              <a:srgbClr val="46b1e1"/>
            </a:solidFill>
            <a:ln cap="rnd" w="19080">
              <a:solidFill>
                <a:srgbClr val="46b1e1"/>
              </a:solidFill>
              <a:round/>
            </a:ln>
          </c:spPr>
          <c:marker>
            <c:symbol val="circle"/>
            <c:size val="5"/>
            <c:spPr>
              <a:solidFill>
                <a:srgbClr val="46b1e1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reinforce!$B$7,reinforce!$D$7</c:f>
              <c:numCache>
                <c:formatCode>General</c:formatCode>
                <c:ptCount val="2"/>
              </c:numCache>
            </c:numRef>
          </c:xVal>
          <c:yVal>
            <c:numRef>
              <c:f>reinforce!$C$7,reinforce!$E$7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5"/>
          <c:order val="35"/>
          <c:tx>
            <c:strRef>
              <c:f>"Reinforce Line #6"</c:f>
              <c:strCache>
                <c:ptCount val="1"/>
                <c:pt idx="0">
                  <c:v>Reinforce Line #6</c:v>
                </c:pt>
              </c:strCache>
            </c:strRef>
          </c:tx>
          <c:spPr>
            <a:solidFill>
              <a:srgbClr val="f2aa84"/>
            </a:solidFill>
            <a:ln cap="rnd" w="19080">
              <a:solidFill>
                <a:srgbClr val="f2aa84"/>
              </a:solidFill>
              <a:round/>
            </a:ln>
          </c:spPr>
          <c:marker>
            <c:symbol val="circle"/>
            <c:size val="5"/>
            <c:spPr>
              <a:solidFill>
                <a:srgbClr val="f2aa8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reinforce!$B$8,reinforce!$D$8</c:f>
              <c:numCache>
                <c:formatCode>General</c:formatCode>
                <c:ptCount val="2"/>
              </c:numCache>
            </c:numRef>
          </c:xVal>
          <c:yVal>
            <c:numRef>
              <c:f>reinforce!$C$8,reinforce!$E$8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6"/>
          <c:order val="36"/>
          <c:tx>
            <c:strRef>
              <c:f>"Reinforce Line #7"</c:f>
              <c:strCache>
                <c:ptCount val="1"/>
                <c:pt idx="0">
                  <c:v>Reinforce Line #7</c:v>
                </c:pt>
              </c:strCache>
            </c:strRef>
          </c:tx>
          <c:spPr>
            <a:solidFill>
              <a:srgbClr val="47d45a"/>
            </a:solidFill>
            <a:ln cap="rnd" w="19080">
              <a:solidFill>
                <a:srgbClr val="47d45a"/>
              </a:solidFill>
              <a:round/>
            </a:ln>
          </c:spPr>
          <c:marker>
            <c:symbol val="circle"/>
            <c:size val="5"/>
            <c:spPr>
              <a:solidFill>
                <a:srgbClr val="47d45a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reinforce!$B$9,reinforce!$D$9</c:f>
              <c:numCache>
                <c:formatCode>General</c:formatCode>
                <c:ptCount val="2"/>
              </c:numCache>
            </c:numRef>
          </c:xVal>
          <c:yVal>
            <c:numRef>
              <c:f>reinforce!$C$9,reinforce!$E$9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7"/>
          <c:order val="37"/>
          <c:tx>
            <c:strRef>
              <c:f>"Reinforce Line #8"</c:f>
              <c:strCache>
                <c:ptCount val="1"/>
                <c:pt idx="0">
                  <c:v>Reinforce Line #8</c:v>
                </c:pt>
              </c:strCache>
            </c:strRef>
          </c:tx>
          <c:spPr>
            <a:solidFill>
              <a:srgbClr val="61cbf4"/>
            </a:solidFill>
            <a:ln cap="rnd" w="19080">
              <a:solidFill>
                <a:srgbClr val="61cbf4"/>
              </a:solidFill>
              <a:round/>
            </a:ln>
          </c:spPr>
          <c:marker>
            <c:symbol val="circle"/>
            <c:size val="5"/>
            <c:spPr>
              <a:solidFill>
                <a:srgbClr val="61cbf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reinforce!$B$10,reinforce!$D$10</c:f>
              <c:numCache>
                <c:formatCode>General</c:formatCode>
                <c:ptCount val="2"/>
              </c:numCache>
            </c:numRef>
          </c:xVal>
          <c:yVal>
            <c:numRef>
              <c:f>reinforce!$C$10,reinforce!$E$10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8"/>
          <c:order val="38"/>
          <c:tx>
            <c:strRef>
              <c:f>"Reinforce Line #9"</c:f>
              <c:strCache>
                <c:ptCount val="1"/>
                <c:pt idx="0">
                  <c:v>Reinforce Line #9</c:v>
                </c:pt>
              </c:strCache>
            </c:strRef>
          </c:tx>
          <c:spPr>
            <a:solidFill>
              <a:srgbClr val="d86ecc"/>
            </a:solidFill>
            <a:ln cap="rnd" w="19080">
              <a:solidFill>
                <a:srgbClr val="d86ecc"/>
              </a:solidFill>
              <a:round/>
            </a:ln>
          </c:spPr>
          <c:marker>
            <c:symbol val="circle"/>
            <c:size val="5"/>
            <c:spPr>
              <a:solidFill>
                <a:srgbClr val="d86ecc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reinforce!$B$11,reinforce!$D$11</c:f>
              <c:numCache>
                <c:formatCode>General</c:formatCode>
                <c:ptCount val="2"/>
              </c:numCache>
            </c:numRef>
          </c:xVal>
          <c:yVal>
            <c:numRef>
              <c:f>reinforce!$C$11,reinforce!$E$11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9"/>
          <c:order val="39"/>
          <c:tx>
            <c:strRef>
              <c:f>"Reinforce Line #10"</c:f>
              <c:strCache>
                <c:ptCount val="1"/>
                <c:pt idx="0">
                  <c:v>Reinforce Line #10</c:v>
                </c:pt>
              </c:strCache>
            </c:strRef>
          </c:tx>
          <c:spPr>
            <a:solidFill>
              <a:srgbClr val="8ed973"/>
            </a:solidFill>
            <a:ln cap="rnd" w="19080">
              <a:solidFill>
                <a:srgbClr val="8ed973"/>
              </a:solidFill>
              <a:round/>
            </a:ln>
          </c:spPr>
          <c:marker>
            <c:symbol val="circle"/>
            <c:size val="5"/>
            <c:spPr>
              <a:solidFill>
                <a:srgbClr val="8ed973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reinforce!$B$12,reinforce!$D$12</c:f>
              <c:numCache>
                <c:formatCode>General</c:formatCode>
                <c:ptCount val="2"/>
              </c:numCache>
            </c:numRef>
          </c:xVal>
          <c:yVal>
            <c:numRef>
              <c:f>reinforce!$C$12,reinforce!$E$12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0"/>
          <c:order val="40"/>
          <c:tx>
            <c:strRef>
              <c:f>"Reinforce Line #11"</c:f>
              <c:strCache>
                <c:ptCount val="1"/>
                <c:pt idx="0">
                  <c:v>Reinforce Line #11</c:v>
                </c:pt>
              </c:strCache>
            </c:strRef>
          </c:tx>
          <c:spPr>
            <a:solidFill>
              <a:srgbClr val="0b3041"/>
            </a:solidFill>
            <a:ln cap="rnd" w="19080">
              <a:solidFill>
                <a:srgbClr val="0b3041"/>
              </a:solidFill>
              <a:round/>
            </a:ln>
          </c:spPr>
          <c:marker>
            <c:symbol val="circle"/>
            <c:size val="5"/>
            <c:spPr>
              <a:solidFill>
                <a:srgbClr val="0b3041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reinforce!$B$13,reinforce!$D$13</c:f>
              <c:numCache>
                <c:formatCode>General</c:formatCode>
                <c:ptCount val="2"/>
              </c:numCache>
            </c:numRef>
          </c:xVal>
          <c:yVal>
            <c:numRef>
              <c:f>reinforce!$C$13,reinforce!$E$13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1"/>
          <c:order val="41"/>
          <c:tx>
            <c:strRef>
              <c:f>"Reinforce Line #12"</c:f>
              <c:strCache>
                <c:ptCount val="1"/>
                <c:pt idx="0">
                  <c:v>Reinforce Line #12</c:v>
                </c:pt>
              </c:strCache>
            </c:strRef>
          </c:tx>
          <c:spPr>
            <a:solidFill>
              <a:srgbClr val="80350e"/>
            </a:solidFill>
            <a:ln cap="rnd" w="19080">
              <a:solidFill>
                <a:srgbClr val="80350e"/>
              </a:solidFill>
              <a:round/>
            </a:ln>
          </c:spPr>
          <c:marker>
            <c:symbol val="circle"/>
            <c:size val="5"/>
            <c:spPr>
              <a:solidFill>
                <a:srgbClr val="80350e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reinforce!$B$14,reinforce!$D$14</c:f>
              <c:numCache>
                <c:formatCode>General</c:formatCode>
                <c:ptCount val="2"/>
              </c:numCache>
            </c:numRef>
          </c:xVal>
          <c:yVal>
            <c:numRef>
              <c:f>reinforce!$C$14,reinforce!$E$14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2"/>
          <c:order val="42"/>
          <c:tx>
            <c:strRef>
              <c:f>"Reinforce Line #13"</c:f>
              <c:strCache>
                <c:ptCount val="1"/>
                <c:pt idx="0">
                  <c:v>Reinforce Line #13</c:v>
                </c:pt>
              </c:strCache>
            </c:strRef>
          </c:tx>
          <c:spPr>
            <a:solidFill>
              <a:srgbClr val="f09c6f"/>
            </a:solidFill>
            <a:ln cap="rnd" w="19080">
              <a:solidFill>
                <a:srgbClr val="f09c6f"/>
              </a:solidFill>
              <a:round/>
            </a:ln>
          </c:spPr>
          <c:marker>
            <c:symbol val="circle"/>
            <c:size val="5"/>
            <c:spPr>
              <a:solidFill>
                <a:srgbClr val="f09c6f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reinforce!$B$15,reinforce!$D$15</c:f>
              <c:numCache>
                <c:formatCode>General</c:formatCode>
                <c:ptCount val="2"/>
              </c:numCache>
            </c:numRef>
          </c:xVal>
          <c:yVal>
            <c:numRef>
              <c:f>reinforce!$C$15,reinforce!$E$15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3"/>
          <c:order val="43"/>
          <c:tx>
            <c:strRef>
              <c:f>"Reinforce Line #14"</c:f>
              <c:strCache>
                <c:ptCount val="1"/>
                <c:pt idx="0">
                  <c:v>Reinforce Line #14</c:v>
                </c:pt>
              </c:strCache>
            </c:strRef>
          </c:tx>
          <c:spPr>
            <a:solidFill>
              <a:srgbClr val="2ec743"/>
            </a:solidFill>
            <a:ln cap="rnd" w="19080">
              <a:solidFill>
                <a:srgbClr val="2ec743"/>
              </a:solidFill>
              <a:round/>
            </a:ln>
          </c:spPr>
          <c:marker>
            <c:symbol val="circle"/>
            <c:size val="5"/>
            <c:spPr>
              <a:solidFill>
                <a:srgbClr val="2ec743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reinforce!$B$16,reinforce!$D$16</c:f>
              <c:numCache>
                <c:formatCode>General</c:formatCode>
                <c:ptCount val="2"/>
              </c:numCache>
            </c:numRef>
          </c:xVal>
          <c:yVal>
            <c:numRef>
              <c:f>reinforce!$C$16,reinforce!$E$16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4"/>
          <c:order val="44"/>
          <c:tx>
            <c:strRef>
              <c:f>"Reinforce Line #15"</c:f>
              <c:strCache>
                <c:ptCount val="1"/>
                <c:pt idx="0">
                  <c:v>Reinforce Line #15</c:v>
                </c:pt>
              </c:strCache>
            </c:strRef>
          </c:tx>
          <c:spPr>
            <a:solidFill>
              <a:srgbClr val="47c2f2"/>
            </a:solidFill>
            <a:ln cap="rnd" w="19080">
              <a:solidFill>
                <a:srgbClr val="47c2f2"/>
              </a:solidFill>
              <a:round/>
            </a:ln>
          </c:spPr>
          <c:marker>
            <c:symbol val="circle"/>
            <c:size val="5"/>
            <c:spPr>
              <a:solidFill>
                <a:srgbClr val="47c2f2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reinforce!$B$17,reinforce!$D$17</c:f>
              <c:numCache>
                <c:formatCode>General</c:formatCode>
                <c:ptCount val="2"/>
              </c:numCache>
            </c:numRef>
          </c:xVal>
          <c:yVal>
            <c:numRef>
              <c:f>reinforce!$C$17,reinforce!$E$17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5"/>
          <c:order val="45"/>
          <c:tx>
            <c:strRef>
              <c:f>"Reinforce Line #16"</c:f>
              <c:strCache>
                <c:ptCount val="1"/>
                <c:pt idx="0">
                  <c:v>Reinforce Line #16</c:v>
                </c:pt>
              </c:strCache>
            </c:strRef>
          </c:tx>
          <c:spPr>
            <a:solidFill>
              <a:srgbClr val="d156c4"/>
            </a:solidFill>
            <a:ln cap="rnd" w="19080">
              <a:solidFill>
                <a:srgbClr val="d156c4"/>
              </a:solidFill>
              <a:round/>
            </a:ln>
          </c:spPr>
          <c:marker>
            <c:symbol val="circle"/>
            <c:size val="5"/>
            <c:spPr>
              <a:solidFill>
                <a:srgbClr val="d156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reinforce!$B$18,reinforce!$D$18</c:f>
              <c:numCache>
                <c:formatCode>General</c:formatCode>
                <c:ptCount val="2"/>
              </c:numCache>
            </c:numRef>
          </c:xVal>
          <c:yVal>
            <c:numRef>
              <c:f>reinforce!$C$18,reinforce!$E$18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6"/>
          <c:order val="46"/>
          <c:tx>
            <c:strRef>
              <c:f>"Reinforce Line #17"</c:f>
              <c:strCache>
                <c:ptCount val="1"/>
                <c:pt idx="0">
                  <c:v>Reinforce Line #17</c:v>
                </c:pt>
              </c:strCache>
            </c:strRef>
          </c:tx>
          <c:spPr>
            <a:solidFill>
              <a:srgbClr val="7bd25c"/>
            </a:solidFill>
            <a:ln cap="rnd" w="19080">
              <a:solidFill>
                <a:srgbClr val="7bd25c"/>
              </a:solidFill>
              <a:round/>
            </a:ln>
          </c:spPr>
          <c:marker>
            <c:symbol val="circle"/>
            <c:size val="5"/>
            <c:spPr>
              <a:solidFill>
                <a:srgbClr val="7bd25c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reinforce!$B$19,reinforce!$D$19</c:f>
              <c:numCache>
                <c:formatCode>General</c:formatCode>
                <c:ptCount val="2"/>
              </c:numCache>
            </c:numRef>
          </c:xVal>
          <c:yVal>
            <c:numRef>
              <c:f>reinforce!$C$19,reinforce!$E$19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7"/>
          <c:order val="47"/>
          <c:tx>
            <c:strRef>
              <c:f>"Reinforce Line #18"</c:f>
              <c:strCache>
                <c:ptCount val="1"/>
                <c:pt idx="0">
                  <c:v>Reinforce Line #18</c:v>
                </c:pt>
              </c:strCache>
            </c:strRef>
          </c:tx>
          <c:spPr>
            <a:solidFill>
              <a:srgbClr val="0f435b"/>
            </a:solidFill>
            <a:ln cap="rnd" w="19080">
              <a:solidFill>
                <a:srgbClr val="0f435b"/>
              </a:solidFill>
              <a:round/>
            </a:ln>
          </c:spPr>
          <c:marker>
            <c:symbol val="circle"/>
            <c:size val="5"/>
            <c:spPr>
              <a:solidFill>
                <a:srgbClr val="0f435b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reinforce!$B$20,reinforce!$D$20</c:f>
              <c:numCache>
                <c:formatCode>General</c:formatCode>
                <c:ptCount val="2"/>
              </c:numCache>
            </c:numRef>
          </c:xVal>
          <c:yVal>
            <c:numRef>
              <c:f>reinforce!$C$20,reinforce!$E$20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8"/>
          <c:order val="48"/>
          <c:tx>
            <c:strRef>
              <c:f>"Reinforce Line #19"</c:f>
              <c:strCache>
                <c:ptCount val="1"/>
                <c:pt idx="0">
                  <c:v>Reinforce Line #19</c:v>
                </c:pt>
              </c:strCache>
            </c:strRef>
          </c:tx>
          <c:spPr>
            <a:solidFill>
              <a:srgbClr val="b34a13"/>
            </a:solidFill>
            <a:ln cap="rnd" w="19080">
              <a:solidFill>
                <a:srgbClr val="b34a13"/>
              </a:solidFill>
              <a:round/>
            </a:ln>
          </c:spPr>
          <c:marker>
            <c:symbol val="circle"/>
            <c:size val="5"/>
            <c:spPr>
              <a:solidFill>
                <a:srgbClr val="b34a13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reinforce!$B$21,reinforce!$D$21</c:f>
              <c:numCache>
                <c:formatCode>General</c:formatCode>
                <c:ptCount val="2"/>
              </c:numCache>
            </c:numRef>
          </c:xVal>
          <c:yVal>
            <c:numRef>
              <c:f>reinforce!$C$21,reinforce!$E$21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9"/>
          <c:order val="49"/>
          <c:tx>
            <c:strRef>
              <c:f>"Reinforce Line #20"</c:f>
              <c:strCache>
                <c:ptCount val="1"/>
                <c:pt idx="0">
                  <c:v>Reinforce Line #20</c:v>
                </c:pt>
              </c:strCache>
            </c:strRef>
          </c:tx>
          <c:spPr>
            <a:solidFill>
              <a:srgbClr val="114b19"/>
            </a:solidFill>
            <a:ln cap="rnd" w="19080">
              <a:solidFill>
                <a:srgbClr val="114b19"/>
              </a:solidFill>
              <a:round/>
            </a:ln>
          </c:spPr>
          <c:marker>
            <c:symbol val="circle"/>
            <c:size val="5"/>
            <c:spPr>
              <a:solidFill>
                <a:srgbClr val="114b19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reinforce!$B$22,reinforce!$D$22</c:f>
              <c:numCache>
                <c:formatCode>General</c:formatCode>
                <c:ptCount val="2"/>
              </c:numCache>
            </c:numRef>
          </c:xVal>
          <c:yVal>
            <c:numRef>
              <c:f>reinforce!$C$22,reinforce!$E$22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solidFill>
              <a:srgbClr val="27a3dc"/>
            </a:solidFill>
            <a:ln cap="rnd" w="19080">
              <a:solidFill>
                <a:srgbClr val="27a3dc"/>
              </a:solidFill>
              <a:round/>
            </a:ln>
          </c:spPr>
          <c:marker>
            <c:symbol val="circle"/>
            <c:size val="5"/>
            <c:spPr>
              <a:solidFill>
                <a:srgbClr val="27a3dc"/>
              </a:solidFill>
            </c:spPr>
          </c:marker>
          <c:dPt>
            <c:idx val="0"/>
            <c:marker>
              <c:symbol val="circle"/>
              <c:size val="5"/>
              <c:spPr>
                <a:solidFill>
                  <a:srgbClr val="a2b2a2"/>
                </a:solidFill>
              </c:spPr>
            </c:marker>
          </c:dPt>
          <c:dPt>
            <c:idx val="1"/>
            <c:marker>
              <c:symbol val="circle"/>
              <c:size val="5"/>
              <c:spPr>
                <a:solidFill>
                  <a:srgbClr val="a2b2a2"/>
                </a:solidFill>
              </c:spPr>
            </c:marker>
          </c:dPt>
          <c:dPt>
            <c:idx val="2"/>
            <c:marker>
              <c:symbol val="circle"/>
              <c:size val="5"/>
              <c:spPr>
                <a:solidFill>
                  <a:srgbClr val="a2b2a2"/>
                </a:solidFill>
              </c:spPr>
            </c:marker>
          </c:dPt>
          <c:dPt>
            <c:idx val="3"/>
            <c:marker>
              <c:symbol val="circle"/>
              <c:size val="5"/>
              <c:spPr>
                <a:solidFill>
                  <a:srgbClr val="a2b2a2"/>
                </a:solidFill>
              </c:spPr>
            </c:marker>
          </c:dPt>
          <c:dPt>
            <c:idx val="4"/>
            <c:marker>
              <c:symbol val="circle"/>
              <c:size val="5"/>
              <c:spPr>
                <a:solidFill>
                  <a:srgbClr val="a2b2a2"/>
                </a:solidFill>
              </c:spPr>
            </c:marker>
          </c:dPt>
          <c:dPt>
            <c:idx val="5"/>
            <c:marker>
              <c:symbol val="circle"/>
              <c:size val="5"/>
              <c:spPr>
                <a:solidFill>
                  <a:srgbClr val="a2b2a2"/>
                </a:solidFill>
              </c:spPr>
            </c:marker>
          </c:dPt>
          <c:dPt>
            <c:idx val="6"/>
            <c:marker>
              <c:symbol val="circle"/>
              <c:size val="5"/>
              <c:spPr>
                <a:solidFill>
                  <a:srgbClr val="a2b2a2"/>
                </a:solidFill>
              </c:spPr>
            </c:marker>
          </c:dPt>
          <c:dPt>
            <c:idx val="7"/>
            <c:marker>
              <c:symbol val="circle"/>
              <c:size val="5"/>
              <c:spPr>
                <a:solidFill>
                  <a:srgbClr val="a2b2a2"/>
                </a:solidFill>
              </c:spPr>
            </c:marker>
          </c:dPt>
          <c:dPt>
            <c:idx val="8"/>
            <c:marker>
              <c:symbol val="circle"/>
              <c:size val="5"/>
              <c:spPr>
                <a:solidFill>
                  <a:srgbClr val="a2b2a2"/>
                </a:solidFill>
              </c:spPr>
            </c:marker>
          </c:dPt>
          <c:dPt>
            <c:idx val="9"/>
            <c:marker>
              <c:symbol val="circle"/>
              <c:size val="5"/>
              <c:spPr>
                <a:solidFill>
                  <a:srgbClr val="a2b2a2"/>
                </a:solidFill>
              </c:spPr>
            </c:marker>
          </c:dPt>
          <c:dPt>
            <c:idx val="10"/>
            <c:marker>
              <c:symbol val="circle"/>
              <c:size val="5"/>
              <c:spPr>
                <a:solidFill>
                  <a:srgbClr val="a2b2a2"/>
                </a:solidFill>
              </c:spPr>
            </c:marker>
          </c:dPt>
          <c:dPt>
            <c:idx val="11"/>
            <c:marker>
              <c:symbol val="circle"/>
              <c:size val="5"/>
              <c:spPr>
                <a:solidFill>
                  <a:srgbClr val="a2b2a2"/>
                </a:solidFill>
              </c:spPr>
            </c:marker>
          </c:dPt>
          <c:dPt>
            <c:idx val="12"/>
            <c:marker>
              <c:symbol val="circle"/>
              <c:size val="5"/>
              <c:spPr>
                <a:solidFill>
                  <a:srgbClr val="a2b2a2"/>
                </a:solidFill>
              </c:spPr>
            </c:marker>
          </c:dPt>
          <c:dPt>
            <c:idx val="13"/>
            <c:marker>
              <c:symbol val="circle"/>
              <c:size val="5"/>
              <c:spPr>
                <a:solidFill>
                  <a:srgbClr val="a2b2a2"/>
                </a:solidFill>
              </c:spPr>
            </c:marker>
          </c:dPt>
          <c:dPt>
            <c:idx val="14"/>
            <c:marker>
              <c:symbol val="circle"/>
              <c:size val="5"/>
              <c:spPr>
                <a:solidFill>
                  <a:srgbClr val="a2b2a2"/>
                </a:solidFill>
              </c:spPr>
            </c:marker>
          </c:dPt>
          <c:dPt>
            <c:idx val="15"/>
            <c:marker>
              <c:symbol val="circle"/>
              <c:size val="5"/>
              <c:spPr>
                <a:solidFill>
                  <a:srgbClr val="a2b2a2"/>
                </a:solidFill>
              </c:spPr>
            </c:marker>
          </c:dPt>
          <c:dPt>
            <c:idx val="16"/>
            <c:marker>
              <c:symbol val="circle"/>
              <c:size val="5"/>
              <c:spPr>
                <a:solidFill>
                  <a:srgbClr val="a2b2a2"/>
                </a:solidFill>
              </c:spPr>
            </c:marker>
          </c:dPt>
          <c:dPt>
            <c:idx val="17"/>
            <c:marker>
              <c:symbol val="circle"/>
              <c:size val="5"/>
              <c:spPr>
                <a:solidFill>
                  <a:srgbClr val="a2b2a2"/>
                </a:solidFill>
              </c:spPr>
            </c:marke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bc'!$B$5:$B$24</c:f>
              <c:numCache>
                <c:formatCode>General</c:formatCode>
                <c:ptCount val="20"/>
                <c:pt idx="0">
                  <c:v>380</c:v>
                </c:pt>
                <c:pt idx="1">
                  <c:v>550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180</c:v>
                </c:pt>
                <c:pt idx="1">
                  <c:v>100</c:v>
                </c:pt>
              </c:numCache>
            </c:numRef>
          </c:yVal>
          <c:smooth val="0"/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solidFill>
              <a:srgbClr val="084f6b"/>
            </a:solidFill>
            <a:ln cap="rnd" w="19080">
              <a:solidFill>
                <a:srgbClr val="084f6b"/>
              </a:solidFill>
              <a:round/>
            </a:ln>
          </c:spPr>
          <c:marker>
            <c:symbol val="circle"/>
            <c:size val="5"/>
            <c:spPr>
              <a:solidFill>
                <a:srgbClr val="084f6b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200</c:v>
                </c:pt>
                <c:pt idx="2">
                  <c:v>320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160</c:v>
                </c:pt>
              </c:numCache>
            </c:numRef>
          </c:yVal>
          <c:smooth val="0"/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solidFill>
              <a:srgbClr val="501649"/>
            </a:solidFill>
            <a:ln cap="rnd" w="19080">
              <a:solidFill>
                <a:srgbClr val="501649"/>
              </a:solidFill>
              <a:round/>
            </a:ln>
          </c:spPr>
          <c:marker>
            <c:symbol val="circle"/>
            <c:size val="5"/>
            <c:spPr>
              <a:solidFill>
                <a:srgbClr val="501649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bc'!$H$5:$H$24</c:f>
              <c:numCache>
                <c:formatCode>General</c:formatCode>
                <c:ptCount val="20"/>
                <c:pt idx="0">
                  <c:v>550</c:v>
                </c:pt>
                <c:pt idx="1">
                  <c:v>750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</c:numCache>
            </c:numRef>
          </c:yVal>
          <c:smooth val="0"/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solidFill>
              <a:srgbClr val="275317"/>
            </a:solidFill>
            <a:ln cap="rnd" w="19080">
              <a:solidFill>
                <a:srgbClr val="275317"/>
              </a:solidFill>
              <a:round/>
            </a:ln>
          </c:spPr>
          <c:marker>
            <c:symbol val="circle"/>
            <c:size val="5"/>
            <c:spPr>
              <a:solidFill>
                <a:srgbClr val="275317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solidFill>
              <a:srgbClr val="66db76"/>
            </a:solidFill>
            <a:ln cap="rnd" w="19080">
              <a:solidFill>
                <a:srgbClr val="66db76"/>
              </a:solidFill>
              <a:round/>
            </a:ln>
          </c:spPr>
          <c:marker>
            <c:symbol val="circle"/>
            <c:size val="5"/>
            <c:spPr>
              <a:solidFill>
                <a:srgbClr val="66db76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solidFill>
              <a:srgbClr val="7bd4f6"/>
            </a:solidFill>
            <a:ln cap="rnd" w="19080">
              <a:solidFill>
                <a:srgbClr val="7bd4f6"/>
              </a:solidFill>
              <a:round/>
            </a:ln>
          </c:spPr>
          <c:marker>
            <c:symbol val="circle"/>
            <c:size val="5"/>
            <c:spPr>
              <a:solidFill>
                <a:srgbClr val="7bd4f6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solidFill>
              <a:srgbClr val="de86d5"/>
            </a:solidFill>
            <a:ln cap="rnd" w="19080">
              <a:solidFill>
                <a:srgbClr val="de86d5"/>
              </a:solidFill>
              <a:round/>
            </a:ln>
          </c:spPr>
          <c:marker>
            <c:symbol val="circle"/>
            <c:size val="5"/>
            <c:spPr>
              <a:solidFill>
                <a:srgbClr val="de86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solidFill>
              <a:srgbClr val="a1df8b"/>
            </a:solidFill>
            <a:ln cap="rnd" w="19080">
              <a:solidFill>
                <a:srgbClr val="a1df8b"/>
              </a:solidFill>
              <a:round/>
            </a:ln>
          </c:spPr>
          <c:marker>
            <c:symbol val="circle"/>
            <c:size val="5"/>
            <c:spPr>
              <a:solidFill>
                <a:srgbClr val="a1df8b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solidFill>
              <a:srgbClr val="a02b93"/>
            </a:solidFill>
            <a:ln cap="rnd" w="19080">
              <a:solidFill>
                <a:srgbClr val="a02b93"/>
              </a:solidFill>
              <a:round/>
            </a:ln>
          </c:spPr>
          <c:marker>
            <c:symbol val="circle"/>
            <c:size val="5"/>
            <c:spPr>
              <a:solidFill>
                <a:srgbClr val="a02b93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solidFill>
              <a:srgbClr val="4ea72e"/>
            </a:solidFill>
            <a:ln cap="rnd" w="19080">
              <a:solidFill>
                <a:srgbClr val="4ea72e"/>
              </a:solidFill>
              <a:round/>
            </a:ln>
          </c:spPr>
          <c:marker>
            <c:symbol val="circle"/>
            <c:size val="5"/>
            <c:spPr>
              <a:solidFill>
                <a:srgbClr val="4ea72e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solidFill>
              <a:srgbClr val="0d3a4e"/>
            </a:solidFill>
            <a:ln cap="rnd" w="19080">
              <a:solidFill>
                <a:srgbClr val="0d3a4e"/>
              </a:solidFill>
              <a:round/>
            </a:ln>
          </c:spPr>
          <c:marker>
            <c:symbol val="circle"/>
            <c:size val="5"/>
            <c:spPr>
              <a:solidFill>
                <a:srgbClr val="0d3a4e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solidFill>
              <a:srgbClr val="994010"/>
            </a:solidFill>
            <a:ln cap="rnd" w="19080">
              <a:solidFill>
                <a:srgbClr val="994010"/>
              </a:solidFill>
              <a:round/>
            </a:ln>
          </c:spPr>
          <c:marker>
            <c:symbol val="circle"/>
            <c:size val="5"/>
            <c:spPr>
              <a:solidFill>
                <a:srgbClr val="994010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</c:ser>
        <c:axId val="19879542"/>
        <c:axId val="21746847"/>
      </c:scatterChart>
      <c:valAx>
        <c:axId val="1987954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21746847"/>
        <c:crosses val="autoZero"/>
        <c:crossBetween val="midCat"/>
      </c:valAx>
      <c:valAx>
        <c:axId val="2174684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1987954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589680</xdr:colOff>
      <xdr:row>1</xdr:row>
      <xdr:rowOff>190440</xdr:rowOff>
    </xdr:from>
    <xdr:to>
      <xdr:col>14</xdr:col>
      <xdr:colOff>609120</xdr:colOff>
      <xdr:row>35</xdr:row>
      <xdr:rowOff>141840</xdr:rowOff>
    </xdr:to>
    <xdr:graphicFrame>
      <xdr:nvGraphicFramePr>
        <xdr:cNvPr id="0" name="Chart 1"/>
        <xdr:cNvGraphicFramePr/>
      </xdr:nvGraphicFramePr>
      <xdr:xfrm>
        <a:off x="589680" y="390600"/>
        <a:ext cx="10287360" cy="6752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24" activeCellId="0" sqref="B24"/>
    </sheetView>
  </sheetViews>
  <sheetFormatPr defaultColWidth="10.59765625" defaultRowHeight="15.75" zeroHeight="false" outlineLevelRow="0" outlineLevelCol="0"/>
  <cols>
    <col collapsed="false" customWidth="true" hidden="false" outlineLevel="0" max="1" min="1" style="0" width="5.66"/>
    <col collapsed="false" customWidth="true" hidden="false" outlineLevel="0" max="2" min="2" style="0" width="10.33"/>
    <col collapsed="false" customWidth="true" hidden="false" outlineLevel="0" max="4" min="3" style="1" width="12"/>
    <col collapsed="false" customWidth="true" hidden="false" outlineLevel="0" max="5" min="5" style="0" width="7.51"/>
    <col collapsed="false" customWidth="true" hidden="false" outlineLevel="0" max="7" min="7" style="0" width="52.83"/>
  </cols>
  <sheetData>
    <row r="1" customFormat="false" ht="31.5" hidden="false" customHeight="true" outlineLevel="0" collapsed="false">
      <c r="A1" s="2" t="s">
        <v>0</v>
      </c>
    </row>
    <row r="3" customFormat="false" ht="18.75" hidden="false" customHeight="true" outlineLevel="0" collapsed="false">
      <c r="B3" s="3" t="s">
        <v>1</v>
      </c>
    </row>
    <row r="5" customFormat="false" ht="15.75" hidden="false" customHeight="false" outlineLevel="0" collapsed="false">
      <c r="C5" s="4" t="s">
        <v>2</v>
      </c>
      <c r="D5" s="1" t="n">
        <v>9</v>
      </c>
    </row>
    <row r="7" customFormat="false" ht="15.75" hidden="false" customHeight="false" outlineLevel="0" collapsed="false">
      <c r="B7" s="5" t="s">
        <v>3</v>
      </c>
      <c r="C7" s="5"/>
      <c r="D7" s="5"/>
      <c r="F7" s="6" t="s">
        <v>4</v>
      </c>
      <c r="G7" s="7" t="s">
        <v>5</v>
      </c>
    </row>
    <row r="8" customFormat="false" ht="15.75" hidden="false" customHeight="false" outlineLevel="0" collapsed="false">
      <c r="C8" s="4" t="s">
        <v>6</v>
      </c>
      <c r="D8" s="1" t="n">
        <v>62.4</v>
      </c>
      <c r="F8" s="1" t="s">
        <v>7</v>
      </c>
      <c r="G8" s="0" t="s">
        <v>8</v>
      </c>
    </row>
    <row r="9" customFormat="false" ht="15.75" hidden="false" customHeight="false" outlineLevel="0" collapsed="false">
      <c r="C9" s="4" t="s">
        <v>9</v>
      </c>
      <c r="D9" s="1" t="n">
        <v>0</v>
      </c>
      <c r="F9" s="1" t="s">
        <v>10</v>
      </c>
      <c r="G9" s="0" t="s">
        <v>11</v>
      </c>
    </row>
    <row r="10" customFormat="false" ht="15.75" hidden="false" customHeight="false" outlineLevel="0" collapsed="false">
      <c r="C10" s="4" t="s">
        <v>12</v>
      </c>
      <c r="D10" s="1" t="n">
        <v>0</v>
      </c>
      <c r="F10" s="1" t="s">
        <v>13</v>
      </c>
      <c r="G10" s="0" t="s">
        <v>14</v>
      </c>
    </row>
    <row r="11" customFormat="false" ht="15.75" hidden="false" customHeight="false" outlineLevel="0" collapsed="false">
      <c r="B11" s="1"/>
      <c r="C11" s="4" t="s">
        <v>15</v>
      </c>
      <c r="D11" s="1" t="n">
        <v>0</v>
      </c>
      <c r="F11" s="1" t="s">
        <v>16</v>
      </c>
      <c r="G11" s="0" t="s">
        <v>17</v>
      </c>
    </row>
    <row r="12" customFormat="false" ht="15.75" hidden="false" customHeight="false" outlineLevel="0" collapsed="false">
      <c r="F12" s="1" t="s">
        <v>18</v>
      </c>
      <c r="G12" s="0" t="s">
        <v>19</v>
      </c>
    </row>
    <row r="13" customFormat="false" ht="15.75" hidden="false" customHeight="false" outlineLevel="0" collapsed="false">
      <c r="F13" s="1" t="s">
        <v>20</v>
      </c>
      <c r="G13" s="0" t="s">
        <v>21</v>
      </c>
    </row>
    <row r="14" customFormat="false" ht="15.75" hidden="false" customHeight="false" outlineLevel="0" collapsed="false">
      <c r="F14" s="1" t="s">
        <v>22</v>
      </c>
      <c r="G14" s="0" t="s">
        <v>23</v>
      </c>
    </row>
    <row r="15" customFormat="false" ht="15.75" hidden="false" customHeight="false" outlineLevel="0" collapsed="false">
      <c r="F15" s="1" t="s">
        <v>24</v>
      </c>
      <c r="G15" s="0" t="s">
        <v>25</v>
      </c>
    </row>
    <row r="16" customFormat="false" ht="15.75" hidden="false" customHeight="false" outlineLevel="0" collapsed="false">
      <c r="F16" s="1" t="s">
        <v>26</v>
      </c>
      <c r="G16" s="0" t="s">
        <v>27</v>
      </c>
    </row>
    <row r="17" customFormat="false" ht="15.75" hidden="false" customHeight="false" outlineLevel="0" collapsed="false">
      <c r="B17" s="1"/>
      <c r="F17" s="1" t="s">
        <v>28</v>
      </c>
      <c r="G17" s="8" t="s">
        <v>29</v>
      </c>
    </row>
    <row r="18" customFormat="false" ht="15.75" hidden="false" customHeight="false" outlineLevel="0" collapsed="false">
      <c r="F18" s="1" t="s">
        <v>30</v>
      </c>
      <c r="G18" s="8" t="s">
        <v>31</v>
      </c>
    </row>
    <row r="23" customFormat="false" ht="15.75" hidden="false" customHeight="false" outlineLevel="0" collapsed="false">
      <c r="B23" s="1"/>
    </row>
    <row r="24" customFormat="false" ht="15.75" hidden="false" customHeight="false" outlineLevel="0" collapsed="false">
      <c r="B24" s="1"/>
    </row>
  </sheetData>
  <mergeCells count="1">
    <mergeCell ref="B7:D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E38" activeCellId="0" sqref="E38"/>
    </sheetView>
  </sheetViews>
  <sheetFormatPr defaultColWidth="10.59765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X50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G29" activeCellId="0" sqref="G29"/>
    </sheetView>
  </sheetViews>
  <sheetFormatPr defaultColWidth="10.59765625" defaultRowHeight="15.7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7.33"/>
    <col collapsed="false" customWidth="true" hidden="false" outlineLevel="0" max="9" min="3" style="1" width="8.5"/>
    <col collapsed="false" customWidth="true" hidden="false" outlineLevel="0" max="13" min="10" style="0" width="8.5"/>
    <col collapsed="false" customWidth="true" hidden="false" outlineLevel="0" max="17" min="14" style="0" width="10.83"/>
    <col collapsed="false" customWidth="true" hidden="false" outlineLevel="0" max="23" min="23" style="1" width="10.83"/>
  </cols>
  <sheetData>
    <row r="2" customFormat="false" ht="15.75" hidden="false" customHeight="false" outlineLevel="0" collapsed="false">
      <c r="C2" s="9" t="s">
        <v>32</v>
      </c>
      <c r="J2" s="9" t="s">
        <v>33</v>
      </c>
      <c r="O2" s="9"/>
    </row>
    <row r="3" customFormat="false" ht="15.75" hidden="false" customHeight="false" outlineLevel="0" collapsed="false">
      <c r="C3" s="1" t="s">
        <v>34</v>
      </c>
      <c r="D3" s="1" t="s">
        <v>35</v>
      </c>
      <c r="J3" s="1" t="s">
        <v>36</v>
      </c>
      <c r="K3" s="0" t="s">
        <v>37</v>
      </c>
      <c r="O3" s="4"/>
    </row>
    <row r="4" customFormat="false" ht="15.75" hidden="false" customHeight="false" outlineLevel="0" collapsed="false">
      <c r="C4" s="1" t="s">
        <v>38</v>
      </c>
      <c r="D4" s="1" t="s">
        <v>39</v>
      </c>
      <c r="J4" s="1" t="s">
        <v>16</v>
      </c>
      <c r="K4" s="0" t="s">
        <v>40</v>
      </c>
      <c r="O4" s="4"/>
    </row>
    <row r="5" customFormat="false" ht="15.75" hidden="false" customHeight="false" outlineLevel="0" collapsed="false">
      <c r="J5" s="1" t="s">
        <v>41</v>
      </c>
      <c r="K5" s="8" t="s">
        <v>42</v>
      </c>
      <c r="O5" s="4"/>
    </row>
    <row r="6" customFormat="false" ht="15.75" hidden="false" customHeight="false" outlineLevel="0" collapsed="false">
      <c r="J6" s="1"/>
      <c r="K6" s="1"/>
      <c r="P6" s="1"/>
      <c r="Q6" s="1"/>
    </row>
    <row r="7" customFormat="false" ht="15.75" hidden="false" customHeight="false" outlineLevel="0" collapsed="false">
      <c r="C7" s="10" t="s">
        <v>43</v>
      </c>
      <c r="D7" s="10"/>
      <c r="E7" s="10"/>
      <c r="F7" s="10"/>
      <c r="G7" s="10"/>
      <c r="H7" s="10"/>
      <c r="I7" s="10"/>
      <c r="J7" s="10"/>
      <c r="K7" s="1"/>
      <c r="L7" s="10" t="s">
        <v>44</v>
      </c>
      <c r="M7" s="10"/>
      <c r="N7" s="10"/>
      <c r="O7" s="10"/>
      <c r="P7" s="10"/>
      <c r="Q7" s="10"/>
      <c r="R7" s="10" t="s">
        <v>45</v>
      </c>
      <c r="S7" s="10"/>
      <c r="T7" s="10"/>
      <c r="U7" s="10"/>
      <c r="V7" s="10"/>
      <c r="W7" s="10" t="s">
        <v>46</v>
      </c>
      <c r="X7" s="10"/>
    </row>
    <row r="8" customFormat="false" ht="15.75" hidden="false" customHeight="false" outlineLevel="0" collapsed="false">
      <c r="A8" s="11" t="s">
        <v>10</v>
      </c>
      <c r="B8" s="11" t="s">
        <v>47</v>
      </c>
      <c r="C8" s="12" t="s">
        <v>48</v>
      </c>
      <c r="D8" s="13" t="s">
        <v>49</v>
      </c>
      <c r="E8" s="13" t="s">
        <v>50</v>
      </c>
      <c r="F8" s="12" t="s">
        <v>51</v>
      </c>
      <c r="G8" s="13" t="s">
        <v>52</v>
      </c>
      <c r="H8" s="13" t="s">
        <v>53</v>
      </c>
      <c r="I8" s="13" t="s">
        <v>54</v>
      </c>
      <c r="J8" s="13" t="s">
        <v>55</v>
      </c>
      <c r="K8" s="13" t="s">
        <v>56</v>
      </c>
      <c r="L8" s="14" t="s">
        <v>57</v>
      </c>
      <c r="M8" s="14" t="s">
        <v>58</v>
      </c>
      <c r="N8" s="15" t="s">
        <v>59</v>
      </c>
      <c r="O8" s="14" t="s">
        <v>60</v>
      </c>
      <c r="P8" s="14" t="s">
        <v>61</v>
      </c>
      <c r="Q8" s="15" t="s">
        <v>62</v>
      </c>
      <c r="R8" s="16" t="s">
        <v>63</v>
      </c>
      <c r="S8" s="16" t="s">
        <v>64</v>
      </c>
      <c r="T8" s="16" t="s">
        <v>65</v>
      </c>
      <c r="U8" s="16" t="s">
        <v>66</v>
      </c>
      <c r="V8" s="16" t="s">
        <v>67</v>
      </c>
      <c r="W8" s="17" t="s">
        <v>68</v>
      </c>
      <c r="X8" s="18" t="s">
        <v>69</v>
      </c>
    </row>
    <row r="9" customFormat="false" ht="15.75" hidden="false" customHeight="false" outlineLevel="0" collapsed="false">
      <c r="A9" s="19" t="n">
        <v>1</v>
      </c>
      <c r="B9" s="19" t="s">
        <v>70</v>
      </c>
      <c r="C9" s="19" t="n">
        <v>130</v>
      </c>
      <c r="D9" s="20" t="s">
        <v>34</v>
      </c>
      <c r="E9" s="19" t="n">
        <v>100</v>
      </c>
      <c r="F9" s="19" t="n">
        <v>35</v>
      </c>
      <c r="G9" s="19"/>
      <c r="H9" s="19"/>
      <c r="I9" s="19"/>
      <c r="J9" s="19"/>
      <c r="K9" s="20" t="s">
        <v>41</v>
      </c>
      <c r="L9" s="19"/>
      <c r="M9" s="19"/>
      <c r="N9" s="19"/>
      <c r="O9" s="19"/>
      <c r="P9" s="19"/>
      <c r="Q9" s="19"/>
      <c r="R9" s="19" t="n">
        <v>1</v>
      </c>
      <c r="S9" s="19" t="n">
        <v>1</v>
      </c>
      <c r="T9" s="19" t="n">
        <v>0</v>
      </c>
      <c r="U9" s="19" t="n">
        <v>0.01</v>
      </c>
      <c r="V9" s="19" t="n">
        <v>-1</v>
      </c>
      <c r="W9" s="19" t="n">
        <v>200000</v>
      </c>
      <c r="X9" s="19" t="n">
        <v>0.2</v>
      </c>
    </row>
    <row r="10" customFormat="false" ht="15.75" hidden="false" customHeight="false" outlineLevel="0" collapsed="false">
      <c r="A10" s="19" t="n">
        <v>2</v>
      </c>
      <c r="B10" s="19" t="s">
        <v>71</v>
      </c>
      <c r="C10" s="19" t="n">
        <v>125</v>
      </c>
      <c r="D10" s="20" t="s">
        <v>34</v>
      </c>
      <c r="E10" s="19" t="n">
        <v>400</v>
      </c>
      <c r="F10" s="19" t="n">
        <v>18</v>
      </c>
      <c r="G10" s="19"/>
      <c r="H10" s="19"/>
      <c r="I10" s="19"/>
      <c r="J10" s="19"/>
      <c r="K10" s="20" t="s">
        <v>41</v>
      </c>
      <c r="L10" s="19"/>
      <c r="M10" s="19"/>
      <c r="N10" s="19"/>
      <c r="O10" s="19"/>
      <c r="P10" s="19"/>
      <c r="Q10" s="19"/>
      <c r="R10" s="19" t="n">
        <v>0.001</v>
      </c>
      <c r="S10" s="19" t="n">
        <v>0.001</v>
      </c>
      <c r="T10" s="19" t="n">
        <v>0</v>
      </c>
      <c r="U10" s="19" t="n">
        <v>0.01</v>
      </c>
      <c r="V10" s="19" t="n">
        <v>-1</v>
      </c>
      <c r="W10" s="19" t="n">
        <v>150000</v>
      </c>
      <c r="X10" s="19" t="n">
        <v>0.4</v>
      </c>
    </row>
    <row r="11" customFormat="false" ht="15.75" hidden="false" customHeight="false" outlineLevel="0" collapsed="false">
      <c r="A11" s="19" t="n">
        <v>3</v>
      </c>
      <c r="B11" s="19" t="s">
        <v>72</v>
      </c>
      <c r="C11" s="19" t="n">
        <v>127</v>
      </c>
      <c r="D11" s="20" t="s">
        <v>34</v>
      </c>
      <c r="E11" s="19" t="n">
        <v>100</v>
      </c>
      <c r="F11" s="19" t="n">
        <v>27</v>
      </c>
      <c r="G11" s="19"/>
      <c r="H11" s="19"/>
      <c r="I11" s="19"/>
      <c r="J11" s="19"/>
      <c r="K11" s="20" t="s">
        <v>41</v>
      </c>
      <c r="L11" s="19"/>
      <c r="M11" s="19"/>
      <c r="N11" s="19"/>
      <c r="O11" s="19"/>
      <c r="P11" s="19"/>
      <c r="Q11" s="19"/>
      <c r="R11" s="19" t="n">
        <v>0.1</v>
      </c>
      <c r="S11" s="19" t="n">
        <v>0.1</v>
      </c>
      <c r="T11" s="19" t="n">
        <v>0</v>
      </c>
      <c r="U11" s="19" t="n">
        <v>0.01</v>
      </c>
      <c r="V11" s="19" t="n">
        <v>-1</v>
      </c>
      <c r="W11" s="19" t="n">
        <v>50000</v>
      </c>
      <c r="X11" s="19" t="n">
        <v>0.35</v>
      </c>
    </row>
    <row r="12" customFormat="false" ht="15.75" hidden="false" customHeight="false" outlineLevel="0" collapsed="false">
      <c r="A12" s="19" t="n">
        <v>4</v>
      </c>
      <c r="B12" s="19"/>
      <c r="C12" s="19"/>
      <c r="D12" s="20"/>
      <c r="E12" s="19"/>
      <c r="F12" s="19"/>
      <c r="G12" s="19"/>
      <c r="H12" s="19"/>
      <c r="I12" s="19"/>
      <c r="J12" s="19"/>
      <c r="K12" s="20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</row>
    <row r="13" customFormat="false" ht="15.75" hidden="false" customHeight="false" outlineLevel="0" collapsed="false">
      <c r="A13" s="19" t="n">
        <v>5</v>
      </c>
      <c r="B13" s="19"/>
      <c r="C13" s="19"/>
      <c r="D13" s="20"/>
      <c r="E13" s="19"/>
      <c r="F13" s="19"/>
      <c r="G13" s="19"/>
      <c r="H13" s="19"/>
      <c r="I13" s="19"/>
      <c r="J13" s="19"/>
      <c r="K13" s="20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</row>
    <row r="14" customFormat="false" ht="15.75" hidden="false" customHeight="false" outlineLevel="0" collapsed="false">
      <c r="A14" s="19" t="n">
        <v>6</v>
      </c>
      <c r="B14" s="19"/>
      <c r="C14" s="19"/>
      <c r="D14" s="20"/>
      <c r="E14" s="19"/>
      <c r="F14" s="19"/>
      <c r="G14" s="19"/>
      <c r="H14" s="19"/>
      <c r="I14" s="19"/>
      <c r="J14" s="19"/>
      <c r="K14" s="20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</row>
    <row r="15" customFormat="false" ht="15.75" hidden="false" customHeight="false" outlineLevel="0" collapsed="false">
      <c r="A15" s="19" t="n">
        <v>7</v>
      </c>
      <c r="B15" s="19"/>
      <c r="C15" s="19"/>
      <c r="D15" s="20"/>
      <c r="E15" s="19"/>
      <c r="F15" s="19"/>
      <c r="G15" s="19"/>
      <c r="H15" s="19"/>
      <c r="I15" s="19"/>
      <c r="J15" s="19"/>
      <c r="K15" s="20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</row>
    <row r="16" customFormat="false" ht="15.75" hidden="false" customHeight="false" outlineLevel="0" collapsed="false">
      <c r="A16" s="19" t="n">
        <v>8</v>
      </c>
      <c r="B16" s="19"/>
      <c r="C16" s="19"/>
      <c r="D16" s="20"/>
      <c r="E16" s="19"/>
      <c r="F16" s="19"/>
      <c r="G16" s="19"/>
      <c r="H16" s="19"/>
      <c r="I16" s="19"/>
      <c r="J16" s="19"/>
      <c r="K16" s="20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</row>
    <row r="17" customFormat="false" ht="15.75" hidden="false" customHeight="false" outlineLevel="0" collapsed="false">
      <c r="A17" s="19" t="n">
        <v>9</v>
      </c>
      <c r="B17" s="19"/>
      <c r="C17" s="19"/>
      <c r="D17" s="20"/>
      <c r="E17" s="19"/>
      <c r="F17" s="19"/>
      <c r="G17" s="19"/>
      <c r="H17" s="19"/>
      <c r="I17" s="19"/>
      <c r="J17" s="19"/>
      <c r="K17" s="20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</row>
    <row r="18" customFormat="false" ht="15.75" hidden="false" customHeight="false" outlineLevel="0" collapsed="false">
      <c r="A18" s="19" t="n">
        <v>10</v>
      </c>
      <c r="B18" s="19"/>
      <c r="C18" s="19"/>
      <c r="D18" s="20"/>
      <c r="E18" s="19"/>
      <c r="F18" s="19"/>
      <c r="G18" s="19"/>
      <c r="H18" s="19"/>
      <c r="I18" s="19"/>
      <c r="J18" s="19"/>
      <c r="K18" s="20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</row>
    <row r="19" customFormat="false" ht="15.75" hidden="false" customHeight="false" outlineLevel="0" collapsed="false">
      <c r="A19" s="19" t="n">
        <v>11</v>
      </c>
      <c r="B19" s="19"/>
      <c r="C19" s="19"/>
      <c r="D19" s="20"/>
      <c r="E19" s="19"/>
      <c r="F19" s="19"/>
      <c r="G19" s="19"/>
      <c r="H19" s="19"/>
      <c r="I19" s="19"/>
      <c r="J19" s="19"/>
      <c r="K19" s="20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</row>
    <row r="20" customFormat="false" ht="15.75" hidden="false" customHeight="false" outlineLevel="0" collapsed="false">
      <c r="A20" s="19" t="n">
        <v>12</v>
      </c>
      <c r="B20" s="19"/>
      <c r="C20" s="19"/>
      <c r="D20" s="20"/>
      <c r="E20" s="19"/>
      <c r="F20" s="19"/>
      <c r="G20" s="19"/>
      <c r="H20" s="19"/>
      <c r="I20" s="19"/>
      <c r="J20" s="19"/>
      <c r="K20" s="20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</row>
    <row r="21" customFormat="false" ht="15.75" hidden="false" customHeight="false" outlineLevel="0" collapsed="false">
      <c r="A21" s="19" t="n">
        <v>13</v>
      </c>
      <c r="B21" s="19"/>
      <c r="C21" s="19"/>
      <c r="D21" s="20"/>
      <c r="E21" s="19"/>
      <c r="F21" s="19"/>
      <c r="G21" s="19"/>
      <c r="H21" s="19"/>
      <c r="I21" s="19"/>
      <c r="J21" s="19"/>
      <c r="K21" s="20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</row>
    <row r="22" customFormat="false" ht="15.75" hidden="false" customHeight="false" outlineLevel="0" collapsed="false">
      <c r="A22" s="19" t="n">
        <v>14</v>
      </c>
      <c r="B22" s="19"/>
      <c r="C22" s="19"/>
      <c r="D22" s="20"/>
      <c r="E22" s="19"/>
      <c r="F22" s="19"/>
      <c r="G22" s="19"/>
      <c r="H22" s="19"/>
      <c r="I22" s="19"/>
      <c r="J22" s="19"/>
      <c r="K22" s="20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</row>
    <row r="23" customFormat="false" ht="15.75" hidden="false" customHeight="false" outlineLevel="0" collapsed="false">
      <c r="A23" s="19" t="n">
        <v>15</v>
      </c>
      <c r="B23" s="19"/>
      <c r="C23" s="19"/>
      <c r="D23" s="20"/>
      <c r="E23" s="19"/>
      <c r="F23" s="19"/>
      <c r="G23" s="19"/>
      <c r="H23" s="19"/>
      <c r="I23" s="19"/>
      <c r="J23" s="19"/>
      <c r="K23" s="20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</row>
    <row r="24" customFormat="false" ht="15.75" hidden="false" customHeight="false" outlineLevel="0" collapsed="false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customFormat="false" ht="15.75" hidden="false" customHeight="false" outlineLevel="0" collapsed="false">
      <c r="J25" s="1"/>
      <c r="K25" s="1"/>
      <c r="L25" s="1"/>
      <c r="M25" s="1"/>
      <c r="N25" s="1"/>
      <c r="O25" s="1"/>
      <c r="P25" s="1"/>
      <c r="Q25" s="1"/>
    </row>
    <row r="26" customFormat="false" ht="15.75" hidden="false" customHeight="false" outlineLevel="0" collapsed="false">
      <c r="J26" s="1"/>
      <c r="K26" s="1"/>
      <c r="L26" s="1"/>
      <c r="M26" s="1"/>
      <c r="N26" s="1"/>
      <c r="O26" s="1"/>
      <c r="P26" s="1"/>
      <c r="Q26" s="1"/>
    </row>
    <row r="27" customFormat="false" ht="15.75" hidden="false" customHeight="false" outlineLevel="0" collapsed="false">
      <c r="J27" s="1"/>
      <c r="K27" s="1"/>
      <c r="L27" s="1"/>
      <c r="M27" s="1"/>
      <c r="N27" s="1"/>
      <c r="O27" s="1"/>
      <c r="P27" s="1"/>
      <c r="Q27" s="1"/>
    </row>
    <row r="28" customFormat="false" ht="15.75" hidden="false" customHeight="false" outlineLevel="0" collapsed="false">
      <c r="J28" s="1"/>
      <c r="K28" s="1"/>
      <c r="L28" s="1"/>
      <c r="M28" s="1"/>
      <c r="N28" s="1"/>
      <c r="O28" s="1"/>
      <c r="P28" s="1"/>
      <c r="Q28" s="1"/>
    </row>
    <row r="29" customFormat="false" ht="15.75" hidden="false" customHeight="false" outlineLevel="0" collapsed="false">
      <c r="J29" s="1"/>
      <c r="K29" s="1"/>
      <c r="L29" s="1"/>
      <c r="M29" s="1"/>
      <c r="N29" s="1"/>
      <c r="O29" s="1"/>
      <c r="P29" s="1"/>
      <c r="Q29" s="1"/>
    </row>
    <row r="30" customFormat="false" ht="15.75" hidden="false" customHeight="false" outlineLevel="0" collapsed="false">
      <c r="J30" s="1"/>
      <c r="K30" s="1"/>
      <c r="L30" s="1"/>
      <c r="M30" s="1"/>
      <c r="N30" s="1"/>
      <c r="O30" s="1"/>
      <c r="P30" s="1"/>
      <c r="Q30" s="1"/>
    </row>
    <row r="31" customFormat="false" ht="15.75" hidden="false" customHeight="false" outlineLevel="0" collapsed="false">
      <c r="J31" s="1"/>
      <c r="K31" s="1"/>
      <c r="L31" s="1"/>
      <c r="M31" s="1"/>
      <c r="N31" s="1"/>
      <c r="O31" s="1"/>
      <c r="P31" s="1"/>
      <c r="Q31" s="1"/>
    </row>
    <row r="32" customFormat="false" ht="15.75" hidden="false" customHeight="false" outlineLevel="0" collapsed="false">
      <c r="J32" s="1"/>
      <c r="K32" s="1"/>
      <c r="L32" s="1"/>
      <c r="M32" s="1"/>
      <c r="N32" s="1"/>
      <c r="O32" s="1"/>
      <c r="P32" s="1"/>
      <c r="Q32" s="1"/>
    </row>
    <row r="33" customFormat="false" ht="15.75" hidden="false" customHeight="false" outlineLevel="0" collapsed="false">
      <c r="J33" s="1"/>
      <c r="K33" s="1"/>
      <c r="L33" s="1"/>
      <c r="M33" s="1"/>
      <c r="N33" s="1"/>
      <c r="O33" s="1"/>
      <c r="P33" s="1"/>
      <c r="Q33" s="1"/>
    </row>
    <row r="34" customFormat="false" ht="15.75" hidden="false" customHeight="false" outlineLevel="0" collapsed="false">
      <c r="J34" s="1"/>
      <c r="K34" s="1"/>
      <c r="L34" s="1"/>
      <c r="M34" s="1"/>
      <c r="N34" s="1"/>
      <c r="O34" s="1"/>
      <c r="P34" s="1"/>
      <c r="Q34" s="1"/>
    </row>
    <row r="35" customFormat="false" ht="15.75" hidden="false" customHeight="false" outlineLevel="0" collapsed="false">
      <c r="J35" s="1"/>
      <c r="K35" s="1"/>
      <c r="L35" s="1"/>
      <c r="M35" s="1"/>
      <c r="N35" s="1"/>
      <c r="O35" s="1"/>
      <c r="P35" s="1"/>
      <c r="Q35" s="1"/>
    </row>
    <row r="36" customFormat="false" ht="15.75" hidden="false" customHeight="false" outlineLevel="0" collapsed="false">
      <c r="J36" s="1"/>
      <c r="K36" s="1"/>
      <c r="L36" s="1"/>
      <c r="M36" s="1"/>
      <c r="N36" s="1"/>
      <c r="O36" s="1"/>
      <c r="P36" s="1"/>
      <c r="Q36" s="1"/>
    </row>
    <row r="37" customFormat="false" ht="15.75" hidden="false" customHeight="false" outlineLevel="0" collapsed="false">
      <c r="J37" s="1"/>
      <c r="K37" s="1"/>
      <c r="L37" s="1"/>
      <c r="M37" s="1"/>
      <c r="N37" s="1"/>
      <c r="O37" s="1"/>
      <c r="P37" s="1"/>
      <c r="Q37" s="1"/>
    </row>
    <row r="38" customFormat="false" ht="15.75" hidden="false" customHeight="false" outlineLevel="0" collapsed="false">
      <c r="J38" s="1"/>
      <c r="K38" s="1"/>
      <c r="L38" s="1"/>
      <c r="M38" s="1"/>
      <c r="N38" s="1"/>
      <c r="O38" s="1"/>
      <c r="P38" s="1"/>
      <c r="Q38" s="1"/>
    </row>
    <row r="39" customFormat="false" ht="15.75" hidden="false" customHeight="false" outlineLevel="0" collapsed="false">
      <c r="J39" s="1"/>
      <c r="K39" s="1"/>
      <c r="L39" s="1"/>
      <c r="M39" s="1"/>
      <c r="N39" s="1"/>
      <c r="O39" s="1"/>
      <c r="P39" s="1"/>
      <c r="Q39" s="1"/>
    </row>
    <row r="40" customFormat="false" ht="15.75" hidden="false" customHeight="false" outlineLevel="0" collapsed="false">
      <c r="J40" s="1"/>
      <c r="K40" s="1"/>
      <c r="L40" s="1"/>
      <c r="M40" s="1"/>
      <c r="N40" s="1"/>
      <c r="O40" s="1"/>
      <c r="P40" s="1"/>
      <c r="Q40" s="1"/>
    </row>
    <row r="41" customFormat="false" ht="15.75" hidden="false" customHeight="false" outlineLevel="0" collapsed="false">
      <c r="J41" s="1"/>
      <c r="K41" s="1"/>
      <c r="L41" s="1"/>
      <c r="M41" s="1"/>
      <c r="N41" s="1"/>
      <c r="O41" s="1"/>
      <c r="P41" s="1"/>
      <c r="Q41" s="1"/>
    </row>
    <row r="42" customFormat="false" ht="15.75" hidden="false" customHeight="false" outlineLevel="0" collapsed="false">
      <c r="J42" s="1"/>
      <c r="K42" s="1"/>
      <c r="L42" s="1"/>
      <c r="M42" s="1"/>
      <c r="N42" s="1"/>
      <c r="O42" s="1"/>
      <c r="P42" s="1"/>
      <c r="Q42" s="1"/>
    </row>
    <row r="43" customFormat="false" ht="15.75" hidden="false" customHeight="false" outlineLevel="0" collapsed="false">
      <c r="J43" s="1"/>
      <c r="K43" s="1"/>
      <c r="L43" s="1"/>
      <c r="M43" s="1"/>
      <c r="N43" s="1"/>
      <c r="O43" s="1"/>
      <c r="P43" s="1"/>
      <c r="Q43" s="1"/>
    </row>
    <row r="44" customFormat="false" ht="15.75" hidden="false" customHeight="false" outlineLevel="0" collapsed="false">
      <c r="J44" s="1"/>
      <c r="K44" s="1"/>
      <c r="L44" s="1"/>
      <c r="M44" s="1"/>
      <c r="N44" s="1"/>
      <c r="O44" s="1"/>
      <c r="P44" s="1"/>
      <c r="Q44" s="1"/>
    </row>
    <row r="45" customFormat="false" ht="15.75" hidden="false" customHeight="false" outlineLevel="0" collapsed="false">
      <c r="J45" s="1"/>
      <c r="K45" s="1"/>
      <c r="L45" s="1"/>
      <c r="M45" s="1"/>
      <c r="N45" s="1"/>
      <c r="O45" s="1"/>
      <c r="P45" s="1"/>
      <c r="Q45" s="1"/>
    </row>
    <row r="46" customFormat="false" ht="15.75" hidden="false" customHeight="false" outlineLevel="0" collapsed="false">
      <c r="J46" s="1"/>
      <c r="K46" s="1"/>
      <c r="L46" s="1"/>
      <c r="M46" s="1"/>
      <c r="N46" s="1"/>
      <c r="O46" s="1"/>
      <c r="P46" s="1"/>
      <c r="Q46" s="1"/>
    </row>
    <row r="47" customFormat="false" ht="15.75" hidden="false" customHeight="false" outlineLevel="0" collapsed="false">
      <c r="J47" s="1"/>
      <c r="K47" s="1"/>
      <c r="L47" s="1"/>
      <c r="M47" s="1"/>
      <c r="N47" s="1"/>
      <c r="O47" s="1"/>
      <c r="P47" s="1"/>
      <c r="Q47" s="1"/>
    </row>
    <row r="48" customFormat="false" ht="15.75" hidden="false" customHeight="false" outlineLevel="0" collapsed="false">
      <c r="J48" s="1"/>
      <c r="K48" s="1"/>
      <c r="L48" s="1"/>
      <c r="M48" s="1"/>
      <c r="N48" s="1"/>
      <c r="O48" s="1"/>
      <c r="P48" s="1"/>
      <c r="Q48" s="1"/>
    </row>
    <row r="49" customFormat="false" ht="15.75" hidden="false" customHeight="false" outlineLevel="0" collapsed="false">
      <c r="J49" s="1"/>
      <c r="K49" s="1"/>
      <c r="L49" s="1"/>
      <c r="M49" s="1"/>
      <c r="N49" s="1"/>
      <c r="O49" s="1"/>
      <c r="P49" s="1"/>
      <c r="Q49" s="1"/>
    </row>
    <row r="50" customFormat="false" ht="15.75" hidden="false" customHeight="false" outlineLevel="0" collapsed="false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R7:V7"/>
    <mergeCell ref="W7:X7"/>
  </mergeCells>
  <conditionalFormatting sqref="R9:V11">
    <cfRule type="expression" priority="2" aboveAverage="0" equalAverage="0" bottom="0" percent="0" rank="0" text="" dxfId="0">
      <formula>$D9="cp"</formula>
    </cfRule>
  </conditionalFormatting>
  <conditionalFormatting sqref="G9:H50">
    <cfRule type="expression" priority="3" aboveAverage="0" equalAverage="0" bottom="0" percent="0" rank="0" text="" dxfId="1">
      <formula>$D9="mc"</formula>
    </cfRule>
  </conditionalFormatting>
  <conditionalFormatting sqref="F9:F50">
    <cfRule type="expression" priority="4" aboveAverage="0" equalAverage="0" bottom="0" percent="0" rank="0" text="" dxfId="0">
      <formula>$D9="cp"</formula>
    </cfRule>
  </conditionalFormatting>
  <conditionalFormatting sqref="I9:J50">
    <cfRule type="expression" priority="5" aboveAverage="0" equalAverage="0" bottom="0" percent="0" rank="0" text="" dxfId="0">
      <formula>$D9="cp"</formula>
    </cfRule>
  </conditionalFormatting>
  <conditionalFormatting sqref="N9:N50">
    <cfRule type="expression" priority="6" aboveAverage="0" equalAverage="0" bottom="0" percent="0" rank="0" text="" dxfId="0">
      <formula>$D9="cp"</formula>
    </cfRule>
  </conditionalFormatting>
  <conditionalFormatting sqref="P9:Q50">
    <cfRule type="expression" priority="7" aboveAverage="0" equalAverage="0" bottom="0" percent="0" rank="0" text="" dxfId="0">
      <formula>$D9="cp"</formula>
    </cfRule>
  </conditionalFormatting>
  <conditionalFormatting sqref="O9:O50">
    <cfRule type="expression" priority="8" aboveAverage="0" equalAverage="0" bottom="0" percent="0" rank="0" text="" dxfId="1">
      <formula>$D9="mc"</formula>
    </cfRule>
  </conditionalFormatting>
  <dataValidations count="2">
    <dataValidation allowBlank="true" errorStyle="stop" operator="between" showDropDown="false" showErrorMessage="true" showInputMessage="true" sqref="D9:D50" type="list">
      <formula1>$C$3:$C$4</formula1>
      <formula2>0</formula2>
    </dataValidation>
    <dataValidation allowBlank="true" errorStyle="stop" operator="between" showDropDown="false" showErrorMessage="true" showInputMessage="true" sqref="K9:K50" type="list">
      <formula1>$J$3:$J$5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R27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8" activeCellId="0" sqref="C18"/>
    </sheetView>
  </sheetViews>
  <sheetFormatPr defaultColWidth="10.59765625" defaultRowHeight="15.75" zeroHeight="false" outlineLevelRow="0" outlineLevelCol="0"/>
  <cols>
    <col collapsed="false" customWidth="true" hidden="false" outlineLevel="0" max="2" min="1" style="1" width="10.83"/>
    <col collapsed="false" customWidth="true" hidden="false" outlineLevel="0" max="3" min="3" style="1" width="3.83"/>
    <col collapsed="false" customWidth="true" hidden="false" outlineLevel="0" max="5" min="4" style="1" width="10.83"/>
    <col collapsed="false" customWidth="true" hidden="false" outlineLevel="0" max="6" min="6" style="1" width="3.83"/>
    <col collapsed="false" customWidth="true" hidden="false" outlineLevel="0" max="8" min="7" style="1" width="10.83"/>
    <col collapsed="false" customWidth="true" hidden="false" outlineLevel="0" max="9" min="9" style="1" width="3.83"/>
    <col collapsed="false" customWidth="true" hidden="false" outlineLevel="0" max="11" min="10" style="1" width="10.83"/>
    <col collapsed="false" customWidth="true" hidden="false" outlineLevel="0" max="12" min="12" style="1" width="3.83"/>
    <col collapsed="false" customWidth="true" hidden="false" outlineLevel="0" max="14" min="13" style="1" width="10.83"/>
    <col collapsed="false" customWidth="true" hidden="false" outlineLevel="0" max="15" min="15" style="0" width="3.83"/>
    <col collapsed="false" customWidth="true" hidden="false" outlineLevel="0" max="18" min="18" style="0" width="3.83"/>
    <col collapsed="false" customWidth="true" hidden="false" outlineLevel="0" max="21" min="21" style="0" width="3.83"/>
    <col collapsed="false" customWidth="true" hidden="false" outlineLevel="0" max="24" min="24" style="0" width="3.83"/>
    <col collapsed="false" customWidth="true" hidden="false" outlineLevel="0" max="27" min="27" style="0" width="3.83"/>
    <col collapsed="false" customWidth="true" hidden="false" outlineLevel="0" max="30" min="30" style="0" width="3.83"/>
    <col collapsed="false" customWidth="true" hidden="false" outlineLevel="0" max="33" min="33" style="0" width="3.83"/>
    <col collapsed="false" customWidth="true" hidden="false" outlineLevel="0" max="36" min="36" style="0" width="3.83"/>
    <col collapsed="false" customWidth="true" hidden="false" outlineLevel="0" max="39" min="39" style="0" width="3.83"/>
    <col collapsed="false" customWidth="true" hidden="false" outlineLevel="0" max="42" min="42" style="0" width="3.83"/>
  </cols>
  <sheetData>
    <row r="2" customFormat="false" ht="15.75" hidden="false" customHeight="false" outlineLevel="0" collapsed="false">
      <c r="A2" s="21" t="s">
        <v>73</v>
      </c>
      <c r="B2" s="19" t="n">
        <v>0</v>
      </c>
      <c r="D2" s="22" t="s">
        <v>74</v>
      </c>
    </row>
    <row r="4" customFormat="false" ht="15.75" hidden="false" customHeight="false" outlineLevel="0" collapsed="false">
      <c r="A4" s="23" t="s">
        <v>75</v>
      </c>
      <c r="B4" s="23"/>
      <c r="D4" s="23" t="s">
        <v>76</v>
      </c>
      <c r="E4" s="23"/>
      <c r="G4" s="23" t="s">
        <v>77</v>
      </c>
      <c r="H4" s="23"/>
      <c r="J4" s="23" t="s">
        <v>78</v>
      </c>
      <c r="K4" s="23"/>
      <c r="M4" s="23" t="s">
        <v>79</v>
      </c>
      <c r="N4" s="23"/>
      <c r="P4" s="23" t="s">
        <v>80</v>
      </c>
      <c r="Q4" s="23"/>
      <c r="R4" s="1"/>
      <c r="S4" s="23" t="s">
        <v>81</v>
      </c>
      <c r="T4" s="23"/>
      <c r="U4" s="1"/>
      <c r="V4" s="23" t="s">
        <v>82</v>
      </c>
      <c r="W4" s="23"/>
      <c r="X4" s="1"/>
      <c r="Y4" s="23" t="s">
        <v>83</v>
      </c>
      <c r="Z4" s="23"/>
      <c r="AA4" s="1"/>
      <c r="AB4" s="23" t="s">
        <v>84</v>
      </c>
      <c r="AC4" s="23"/>
      <c r="AE4" s="23" t="s">
        <v>85</v>
      </c>
      <c r="AF4" s="23"/>
      <c r="AG4" s="1"/>
      <c r="AH4" s="23" t="s">
        <v>86</v>
      </c>
      <c r="AI4" s="23"/>
      <c r="AJ4" s="1"/>
      <c r="AK4" s="23" t="s">
        <v>87</v>
      </c>
      <c r="AL4" s="23"/>
      <c r="AM4" s="1"/>
      <c r="AN4" s="23" t="s">
        <v>88</v>
      </c>
      <c r="AO4" s="23"/>
      <c r="AP4" s="1"/>
      <c r="AQ4" s="23" t="s">
        <v>89</v>
      </c>
      <c r="AR4" s="23"/>
    </row>
    <row r="5" customFormat="false" ht="15.75" hidden="false" customHeight="false" outlineLevel="0" collapsed="false">
      <c r="A5" s="24" t="s">
        <v>90</v>
      </c>
      <c r="B5" s="25" t="n">
        <v>1</v>
      </c>
      <c r="D5" s="24" t="s">
        <v>90</v>
      </c>
      <c r="E5" s="25" t="n">
        <v>2</v>
      </c>
      <c r="G5" s="24" t="s">
        <v>90</v>
      </c>
      <c r="H5" s="25" t="n">
        <v>3</v>
      </c>
      <c r="J5" s="24" t="s">
        <v>90</v>
      </c>
      <c r="K5" s="25" t="n">
        <v>4</v>
      </c>
      <c r="M5" s="24" t="s">
        <v>90</v>
      </c>
      <c r="N5" s="25" t="n">
        <v>5</v>
      </c>
      <c r="P5" s="24" t="s">
        <v>90</v>
      </c>
      <c r="Q5" s="25" t="n">
        <v>6</v>
      </c>
      <c r="R5" s="1"/>
      <c r="S5" s="24" t="s">
        <v>90</v>
      </c>
      <c r="T5" s="25" t="n">
        <v>7</v>
      </c>
      <c r="U5" s="1"/>
      <c r="V5" s="24" t="s">
        <v>90</v>
      </c>
      <c r="W5" s="25" t="n">
        <v>8</v>
      </c>
      <c r="X5" s="1"/>
      <c r="Y5" s="24" t="s">
        <v>90</v>
      </c>
      <c r="Z5" s="25" t="n">
        <v>9</v>
      </c>
      <c r="AA5" s="1"/>
      <c r="AB5" s="24" t="s">
        <v>90</v>
      </c>
      <c r="AC5" s="25" t="n">
        <v>10</v>
      </c>
      <c r="AE5" s="24" t="s">
        <v>90</v>
      </c>
      <c r="AF5" s="25" t="n">
        <v>11</v>
      </c>
      <c r="AG5" s="1"/>
      <c r="AH5" s="24" t="s">
        <v>90</v>
      </c>
      <c r="AI5" s="25" t="n">
        <v>12</v>
      </c>
      <c r="AJ5" s="1"/>
      <c r="AK5" s="24" t="s">
        <v>90</v>
      </c>
      <c r="AL5" s="25" t="n">
        <v>13</v>
      </c>
      <c r="AM5" s="1"/>
      <c r="AN5" s="24" t="s">
        <v>90</v>
      </c>
      <c r="AO5" s="25" t="n">
        <v>14</v>
      </c>
      <c r="AP5" s="1"/>
      <c r="AQ5" s="24" t="s">
        <v>90</v>
      </c>
      <c r="AR5" s="25" t="n">
        <v>15</v>
      </c>
    </row>
    <row r="6" customFormat="false" ht="15.75" hidden="false" customHeight="false" outlineLevel="0" collapsed="false">
      <c r="A6" s="24" t="str">
        <f aca="false">_xlfn.XLOOKUP(B5,mat!$A:$A, mat!$B:$B,"") &amp; ""</f>
        <v>shell</v>
      </c>
      <c r="B6" s="24"/>
      <c r="D6" s="24" t="str">
        <f aca="false">_xlfn.XLOOKUP(E5,mat!$A:$A, mat!$B:$B,"") &amp; ""</f>
        <v>core</v>
      </c>
      <c r="E6" s="24"/>
      <c r="G6" s="24" t="str">
        <f aca="false">_xlfn.XLOOKUP(H5,mat!$A:$A, mat!$B:$B,"") &amp; ""</f>
        <v>foundation</v>
      </c>
      <c r="H6" s="24"/>
      <c r="J6" s="24" t="str">
        <f aca="false">_xlfn.XLOOKUP(K5,mat!$A:$A, mat!$B:$B,"") &amp; ""</f>
        <v/>
      </c>
      <c r="K6" s="24"/>
      <c r="M6" s="24" t="str">
        <f aca="false">_xlfn.XLOOKUP(N5,mat!$A:$A, mat!$B:$B,"") &amp; ""</f>
        <v/>
      </c>
      <c r="N6" s="24"/>
      <c r="P6" s="24" t="str">
        <f aca="false">_xlfn.XLOOKUP(Q5,mat!$A:$A, mat!$B:$B,"") &amp; ""</f>
        <v/>
      </c>
      <c r="Q6" s="24"/>
      <c r="R6" s="1"/>
      <c r="S6" s="24" t="str">
        <f aca="false">_xlfn.XLOOKUP(T5,mat!$A:$A, mat!$B:$B,"") &amp; ""</f>
        <v/>
      </c>
      <c r="T6" s="24"/>
      <c r="U6" s="1"/>
      <c r="V6" s="24" t="str">
        <f aca="false">_xlfn.XLOOKUP(W5,mat!$A:$A, mat!$B:$B,"") &amp; ""</f>
        <v/>
      </c>
      <c r="W6" s="24"/>
      <c r="X6" s="1"/>
      <c r="Y6" s="24" t="str">
        <f aca="false">_xlfn.XLOOKUP(Z5,mat!$A:$A, mat!$B:$B,"") &amp; ""</f>
        <v/>
      </c>
      <c r="Z6" s="24"/>
      <c r="AA6" s="1"/>
      <c r="AB6" s="24" t="str">
        <f aca="false">_xlfn.XLOOKUP(AC5,mat!$A:$A, mat!$B:$B,"") &amp; ""</f>
        <v/>
      </c>
      <c r="AC6" s="24"/>
      <c r="AE6" s="24" t="str">
        <f aca="false">_xlfn.XLOOKUP(AF5,mat!$A:$A, mat!$B:$B,"") &amp; ""</f>
        <v/>
      </c>
      <c r="AF6" s="24"/>
      <c r="AG6" s="1"/>
      <c r="AH6" s="24" t="str">
        <f aca="false">_xlfn.XLOOKUP(AI5,mat!$A:$A, mat!$B:$B,"") &amp; ""</f>
        <v/>
      </c>
      <c r="AI6" s="24"/>
      <c r="AJ6" s="1"/>
      <c r="AK6" s="24" t="str">
        <f aca="false">_xlfn.XLOOKUP(AL5,mat!$A:$A, mat!$B:$B,"") &amp; ""</f>
        <v/>
      </c>
      <c r="AL6" s="24"/>
      <c r="AM6" s="1"/>
      <c r="AN6" s="24" t="str">
        <f aca="false">_xlfn.XLOOKUP(AO5,mat!$A:$A, mat!$B:$B,"") &amp; ""</f>
        <v/>
      </c>
      <c r="AO6" s="24"/>
      <c r="AP6" s="1"/>
      <c r="AQ6" s="24" t="str">
        <f aca="false">_xlfn.XLOOKUP(AR5,mat!$A:$A, mat!$B:$B,"") &amp; ""</f>
        <v/>
      </c>
      <c r="AR6" s="24"/>
    </row>
    <row r="7" customFormat="false" ht="15.75" hidden="false" customHeight="false" outlineLevel="0" collapsed="false">
      <c r="A7" s="26" t="s">
        <v>91</v>
      </c>
      <c r="B7" s="26" t="s">
        <v>92</v>
      </c>
      <c r="D7" s="26" t="s">
        <v>91</v>
      </c>
      <c r="E7" s="26" t="s">
        <v>92</v>
      </c>
      <c r="G7" s="26" t="s">
        <v>91</v>
      </c>
      <c r="H7" s="26" t="s">
        <v>92</v>
      </c>
      <c r="J7" s="26" t="s">
        <v>91</v>
      </c>
      <c r="K7" s="26" t="s">
        <v>92</v>
      </c>
      <c r="M7" s="26" t="s">
        <v>91</v>
      </c>
      <c r="N7" s="26" t="s">
        <v>92</v>
      </c>
      <c r="P7" s="26" t="s">
        <v>91</v>
      </c>
      <c r="Q7" s="26" t="s">
        <v>92</v>
      </c>
      <c r="R7" s="1"/>
      <c r="S7" s="26" t="s">
        <v>91</v>
      </c>
      <c r="T7" s="26" t="s">
        <v>92</v>
      </c>
      <c r="U7" s="1"/>
      <c r="V7" s="26" t="s">
        <v>91</v>
      </c>
      <c r="W7" s="26" t="s">
        <v>92</v>
      </c>
      <c r="X7" s="1"/>
      <c r="Y7" s="26" t="s">
        <v>91</v>
      </c>
      <c r="Z7" s="26" t="s">
        <v>92</v>
      </c>
      <c r="AA7" s="1"/>
      <c r="AB7" s="26" t="s">
        <v>91</v>
      </c>
      <c r="AC7" s="26" t="s">
        <v>92</v>
      </c>
      <c r="AE7" s="26" t="s">
        <v>91</v>
      </c>
      <c r="AF7" s="26" t="s">
        <v>92</v>
      </c>
      <c r="AG7" s="1"/>
      <c r="AH7" s="26" t="s">
        <v>91</v>
      </c>
      <c r="AI7" s="26" t="s">
        <v>92</v>
      </c>
      <c r="AJ7" s="1"/>
      <c r="AK7" s="26" t="s">
        <v>91</v>
      </c>
      <c r="AL7" s="26" t="s">
        <v>92</v>
      </c>
      <c r="AM7" s="1"/>
      <c r="AN7" s="26" t="s">
        <v>91</v>
      </c>
      <c r="AO7" s="26" t="s">
        <v>92</v>
      </c>
      <c r="AP7" s="1"/>
      <c r="AQ7" s="26" t="s">
        <v>91</v>
      </c>
      <c r="AR7" s="26" t="s">
        <v>92</v>
      </c>
    </row>
    <row r="8" customFormat="false" ht="15.75" hidden="false" customHeight="false" outlineLevel="0" collapsed="false">
      <c r="A8" s="19" t="n">
        <v>200</v>
      </c>
      <c r="B8" s="19" t="n">
        <v>100</v>
      </c>
      <c r="D8" s="19" t="n">
        <v>320</v>
      </c>
      <c r="E8" s="19" t="n">
        <v>100</v>
      </c>
      <c r="G8" s="19" t="n">
        <v>0</v>
      </c>
      <c r="H8" s="19" t="n">
        <v>100</v>
      </c>
      <c r="J8" s="19"/>
      <c r="K8" s="19"/>
      <c r="M8" s="19"/>
      <c r="N8" s="19"/>
      <c r="P8" s="19"/>
      <c r="Q8" s="19"/>
      <c r="R8" s="1"/>
      <c r="S8" s="27"/>
      <c r="T8" s="28"/>
      <c r="U8" s="1"/>
      <c r="V8" s="27"/>
      <c r="W8" s="28"/>
      <c r="X8" s="1"/>
      <c r="Y8" s="27"/>
      <c r="Z8" s="28"/>
      <c r="AA8" s="1"/>
      <c r="AB8" s="27"/>
      <c r="AC8" s="28"/>
      <c r="AE8" s="19"/>
      <c r="AF8" s="19"/>
      <c r="AG8" s="1"/>
      <c r="AH8" s="27"/>
      <c r="AI8" s="28"/>
      <c r="AJ8" s="1"/>
      <c r="AK8" s="27"/>
      <c r="AL8" s="28"/>
      <c r="AM8" s="1"/>
      <c r="AN8" s="27"/>
      <c r="AO8" s="28"/>
      <c r="AP8" s="1"/>
      <c r="AQ8" s="27"/>
      <c r="AR8" s="28"/>
    </row>
    <row r="9" customFormat="false" ht="15.75" hidden="false" customHeight="false" outlineLevel="0" collapsed="false">
      <c r="A9" s="19" t="n">
        <v>320</v>
      </c>
      <c r="B9" s="19" t="n">
        <v>160</v>
      </c>
      <c r="D9" s="19" t="n">
        <v>360</v>
      </c>
      <c r="E9" s="19" t="n">
        <v>165</v>
      </c>
      <c r="G9" s="19" t="n">
        <v>320</v>
      </c>
      <c r="H9" s="19" t="n">
        <v>100</v>
      </c>
      <c r="J9" s="19"/>
      <c r="K9" s="19"/>
      <c r="M9" s="19"/>
      <c r="N9" s="19"/>
      <c r="P9" s="19"/>
      <c r="Q9" s="19"/>
      <c r="R9" s="1"/>
      <c r="S9" s="29"/>
      <c r="T9" s="30"/>
      <c r="U9" s="1"/>
      <c r="V9" s="29"/>
      <c r="W9" s="30"/>
      <c r="X9" s="1"/>
      <c r="Y9" s="29"/>
      <c r="Z9" s="30"/>
      <c r="AA9" s="1"/>
      <c r="AB9" s="29"/>
      <c r="AC9" s="30"/>
      <c r="AE9" s="19"/>
      <c r="AF9" s="19"/>
      <c r="AG9" s="1"/>
      <c r="AH9" s="29"/>
      <c r="AI9" s="30"/>
      <c r="AJ9" s="1"/>
      <c r="AK9" s="29"/>
      <c r="AL9" s="30"/>
      <c r="AM9" s="1"/>
      <c r="AN9" s="29"/>
      <c r="AO9" s="30"/>
      <c r="AP9" s="1"/>
      <c r="AQ9" s="29"/>
      <c r="AR9" s="30"/>
    </row>
    <row r="10" customFormat="false" ht="15.75" hidden="false" customHeight="false" outlineLevel="0" collapsed="false">
      <c r="A10" s="19" t="n">
        <v>360</v>
      </c>
      <c r="B10" s="19" t="n">
        <v>180</v>
      </c>
      <c r="D10" s="19" t="n">
        <v>380</v>
      </c>
      <c r="E10" s="19" t="n">
        <v>165</v>
      </c>
      <c r="G10" s="19" t="n">
        <v>360</v>
      </c>
      <c r="H10" s="19" t="n">
        <v>60</v>
      </c>
      <c r="J10" s="19"/>
      <c r="K10" s="19"/>
      <c r="M10" s="19"/>
      <c r="N10" s="19"/>
      <c r="P10" s="19"/>
      <c r="Q10" s="19"/>
      <c r="R10" s="1"/>
      <c r="S10" s="29"/>
      <c r="T10" s="30"/>
      <c r="U10" s="1"/>
      <c r="V10" s="29"/>
      <c r="W10" s="30"/>
      <c r="X10" s="1"/>
      <c r="Y10" s="29"/>
      <c r="Z10" s="30"/>
      <c r="AA10" s="1"/>
      <c r="AB10" s="29"/>
      <c r="AC10" s="30"/>
      <c r="AE10" s="19"/>
      <c r="AF10" s="19"/>
      <c r="AG10" s="1"/>
      <c r="AH10" s="29"/>
      <c r="AI10" s="30"/>
      <c r="AJ10" s="1"/>
      <c r="AK10" s="29"/>
      <c r="AL10" s="30"/>
      <c r="AM10" s="1"/>
      <c r="AN10" s="29"/>
      <c r="AO10" s="30"/>
      <c r="AP10" s="1"/>
      <c r="AQ10" s="29"/>
      <c r="AR10" s="30"/>
    </row>
    <row r="11" customFormat="false" ht="15.75" hidden="false" customHeight="false" outlineLevel="0" collapsed="false">
      <c r="A11" s="19" t="n">
        <v>380</v>
      </c>
      <c r="B11" s="19" t="n">
        <v>180</v>
      </c>
      <c r="D11" s="19" t="n">
        <v>420</v>
      </c>
      <c r="E11" s="19" t="n">
        <v>100</v>
      </c>
      <c r="G11" s="19" t="n">
        <v>380</v>
      </c>
      <c r="H11" s="19" t="n">
        <v>60</v>
      </c>
      <c r="J11" s="19"/>
      <c r="K11" s="19"/>
      <c r="M11" s="19"/>
      <c r="N11" s="19"/>
      <c r="P11" s="19"/>
      <c r="Q11" s="19"/>
      <c r="R11" s="1"/>
      <c r="S11" s="29"/>
      <c r="T11" s="30"/>
      <c r="U11" s="1"/>
      <c r="V11" s="27"/>
      <c r="W11" s="28"/>
      <c r="X11" s="1"/>
      <c r="Y11" s="29"/>
      <c r="Z11" s="30"/>
      <c r="AA11" s="1"/>
      <c r="AB11" s="29"/>
      <c r="AC11" s="30"/>
      <c r="AE11" s="19"/>
      <c r="AF11" s="19"/>
      <c r="AG11" s="1"/>
      <c r="AH11" s="29"/>
      <c r="AI11" s="30"/>
      <c r="AJ11" s="1"/>
      <c r="AK11" s="29"/>
      <c r="AL11" s="30"/>
      <c r="AM11" s="1"/>
      <c r="AN11" s="29"/>
      <c r="AO11" s="30"/>
      <c r="AP11" s="1"/>
      <c r="AQ11" s="29"/>
      <c r="AR11" s="30"/>
    </row>
    <row r="12" customFormat="false" ht="15.75" hidden="false" customHeight="false" outlineLevel="0" collapsed="false">
      <c r="A12" s="19" t="n">
        <v>550</v>
      </c>
      <c r="B12" s="19" t="n">
        <v>100</v>
      </c>
      <c r="D12" s="19"/>
      <c r="E12" s="19"/>
      <c r="G12" s="19" t="n">
        <v>420</v>
      </c>
      <c r="H12" s="19" t="n">
        <v>100</v>
      </c>
      <c r="J12" s="19"/>
      <c r="K12" s="19"/>
      <c r="M12" s="19"/>
      <c r="N12" s="19"/>
      <c r="P12" s="19"/>
      <c r="Q12" s="19"/>
      <c r="R12" s="1"/>
      <c r="S12" s="19"/>
      <c r="T12" s="19"/>
      <c r="U12" s="1"/>
      <c r="V12" s="19"/>
      <c r="W12" s="19"/>
      <c r="X12" s="1"/>
      <c r="Y12" s="19"/>
      <c r="Z12" s="19"/>
      <c r="AA12" s="1"/>
      <c r="AB12" s="19"/>
      <c r="AC12" s="19"/>
      <c r="AE12" s="19"/>
      <c r="AF12" s="19"/>
      <c r="AG12" s="1"/>
      <c r="AH12" s="19"/>
      <c r="AI12" s="19"/>
      <c r="AJ12" s="1"/>
      <c r="AK12" s="19"/>
      <c r="AL12" s="19"/>
      <c r="AM12" s="1"/>
      <c r="AN12" s="19"/>
      <c r="AO12" s="19"/>
      <c r="AP12" s="1"/>
      <c r="AQ12" s="19"/>
      <c r="AR12" s="19"/>
    </row>
    <row r="13" customFormat="false" ht="15.75" hidden="false" customHeight="false" outlineLevel="0" collapsed="false">
      <c r="A13" s="19"/>
      <c r="B13" s="19"/>
      <c r="D13" s="19"/>
      <c r="E13" s="19"/>
      <c r="G13" s="19" t="n">
        <v>750</v>
      </c>
      <c r="H13" s="19" t="n">
        <v>100</v>
      </c>
      <c r="J13" s="19"/>
      <c r="K13" s="19"/>
      <c r="M13" s="19"/>
      <c r="N13" s="19"/>
      <c r="P13" s="19"/>
      <c r="Q13" s="19"/>
      <c r="R13" s="1"/>
      <c r="S13" s="19"/>
      <c r="T13" s="19"/>
      <c r="U13" s="1"/>
      <c r="V13" s="19"/>
      <c r="W13" s="19"/>
      <c r="X13" s="1"/>
      <c r="Y13" s="19"/>
      <c r="Z13" s="19"/>
      <c r="AA13" s="1"/>
      <c r="AB13" s="19"/>
      <c r="AC13" s="19"/>
      <c r="AE13" s="19"/>
      <c r="AF13" s="19"/>
      <c r="AG13" s="1"/>
      <c r="AH13" s="19"/>
      <c r="AI13" s="19"/>
      <c r="AJ13" s="1"/>
      <c r="AK13" s="19"/>
      <c r="AL13" s="19"/>
      <c r="AM13" s="1"/>
      <c r="AN13" s="19"/>
      <c r="AO13" s="19"/>
      <c r="AP13" s="1"/>
      <c r="AQ13" s="19"/>
      <c r="AR13" s="19"/>
    </row>
    <row r="14" customFormat="false" ht="15.75" hidden="false" customHeight="false" outlineLevel="0" collapsed="false">
      <c r="A14" s="19"/>
      <c r="B14" s="19"/>
      <c r="D14" s="19"/>
      <c r="E14" s="19"/>
      <c r="G14" s="19"/>
      <c r="H14" s="19"/>
      <c r="J14" s="19"/>
      <c r="K14" s="19"/>
      <c r="M14" s="19"/>
      <c r="N14" s="19"/>
      <c r="P14" s="19"/>
      <c r="Q14" s="19"/>
      <c r="R14" s="1"/>
      <c r="S14" s="19"/>
      <c r="T14" s="19"/>
      <c r="U14" s="1"/>
      <c r="V14" s="19"/>
      <c r="W14" s="19"/>
      <c r="X14" s="1"/>
      <c r="Y14" s="19"/>
      <c r="Z14" s="19"/>
      <c r="AA14" s="1"/>
      <c r="AB14" s="19"/>
      <c r="AC14" s="19"/>
      <c r="AE14" s="19"/>
      <c r="AF14" s="19"/>
      <c r="AG14" s="1"/>
      <c r="AH14" s="19"/>
      <c r="AI14" s="19"/>
      <c r="AJ14" s="1"/>
      <c r="AK14" s="19"/>
      <c r="AL14" s="19"/>
      <c r="AM14" s="1"/>
      <c r="AN14" s="19"/>
      <c r="AO14" s="19"/>
      <c r="AP14" s="1"/>
      <c r="AQ14" s="19"/>
      <c r="AR14" s="19"/>
    </row>
    <row r="15" customFormat="false" ht="15.75" hidden="false" customHeight="false" outlineLevel="0" collapsed="false">
      <c r="A15" s="19"/>
      <c r="B15" s="19"/>
      <c r="D15" s="19"/>
      <c r="E15" s="19"/>
      <c r="G15" s="19"/>
      <c r="H15" s="19"/>
      <c r="J15" s="19"/>
      <c r="K15" s="19"/>
      <c r="M15" s="19"/>
      <c r="N15" s="19"/>
      <c r="P15" s="19"/>
      <c r="Q15" s="19"/>
      <c r="R15" s="1"/>
      <c r="S15" s="19"/>
      <c r="T15" s="19"/>
      <c r="U15" s="1"/>
      <c r="V15" s="19"/>
      <c r="W15" s="19"/>
      <c r="X15" s="1"/>
      <c r="Y15" s="19"/>
      <c r="Z15" s="19"/>
      <c r="AA15" s="1"/>
      <c r="AB15" s="19"/>
      <c r="AC15" s="19"/>
      <c r="AE15" s="19"/>
      <c r="AF15" s="19"/>
      <c r="AG15" s="1"/>
      <c r="AH15" s="19"/>
      <c r="AI15" s="19"/>
      <c r="AJ15" s="1"/>
      <c r="AK15" s="19"/>
      <c r="AL15" s="19"/>
      <c r="AM15" s="1"/>
      <c r="AN15" s="19"/>
      <c r="AO15" s="19"/>
      <c r="AP15" s="1"/>
      <c r="AQ15" s="19"/>
      <c r="AR15" s="19"/>
    </row>
    <row r="16" customFormat="false" ht="15.75" hidden="false" customHeight="false" outlineLevel="0" collapsed="false">
      <c r="A16" s="19"/>
      <c r="B16" s="19"/>
      <c r="D16" s="19"/>
      <c r="E16" s="19"/>
      <c r="G16" s="19"/>
      <c r="H16" s="19"/>
      <c r="J16" s="19"/>
      <c r="K16" s="19"/>
      <c r="M16" s="19"/>
      <c r="N16" s="19"/>
      <c r="P16" s="19"/>
      <c r="Q16" s="19"/>
      <c r="R16" s="1"/>
      <c r="S16" s="19"/>
      <c r="T16" s="19"/>
      <c r="U16" s="1"/>
      <c r="V16" s="19"/>
      <c r="W16" s="19"/>
      <c r="X16" s="1"/>
      <c r="Y16" s="19"/>
      <c r="Z16" s="19"/>
      <c r="AA16" s="1"/>
      <c r="AB16" s="19"/>
      <c r="AC16" s="19"/>
      <c r="AE16" s="19"/>
      <c r="AF16" s="19"/>
      <c r="AG16" s="1"/>
      <c r="AH16" s="19"/>
      <c r="AI16" s="19"/>
      <c r="AJ16" s="1"/>
      <c r="AK16" s="19"/>
      <c r="AL16" s="19"/>
      <c r="AM16" s="1"/>
      <c r="AN16" s="19"/>
      <c r="AO16" s="19"/>
      <c r="AP16" s="1"/>
      <c r="AQ16" s="19"/>
      <c r="AR16" s="19"/>
    </row>
    <row r="17" customFormat="false" ht="15.75" hidden="false" customHeight="false" outlineLevel="0" collapsed="false">
      <c r="A17" s="19"/>
      <c r="B17" s="19"/>
      <c r="D17" s="19"/>
      <c r="E17" s="19"/>
      <c r="G17" s="19"/>
      <c r="H17" s="19"/>
      <c r="J17" s="19"/>
      <c r="K17" s="19"/>
      <c r="M17" s="19"/>
      <c r="N17" s="19"/>
      <c r="P17" s="19"/>
      <c r="Q17" s="19"/>
      <c r="R17" s="1"/>
      <c r="S17" s="19"/>
      <c r="T17" s="19"/>
      <c r="U17" s="1"/>
      <c r="V17" s="19"/>
      <c r="W17" s="19"/>
      <c r="X17" s="1"/>
      <c r="Y17" s="19"/>
      <c r="Z17" s="19"/>
      <c r="AA17" s="1"/>
      <c r="AB17" s="19"/>
      <c r="AC17" s="19"/>
      <c r="AE17" s="19"/>
      <c r="AF17" s="19"/>
      <c r="AG17" s="1"/>
      <c r="AH17" s="19"/>
      <c r="AI17" s="19"/>
      <c r="AJ17" s="1"/>
      <c r="AK17" s="19"/>
      <c r="AL17" s="19"/>
      <c r="AM17" s="1"/>
      <c r="AN17" s="19"/>
      <c r="AO17" s="19"/>
      <c r="AP17" s="1"/>
      <c r="AQ17" s="19"/>
      <c r="AR17" s="19"/>
    </row>
    <row r="18" customFormat="false" ht="15.75" hidden="false" customHeight="false" outlineLevel="0" collapsed="false">
      <c r="A18" s="19"/>
      <c r="B18" s="19"/>
      <c r="D18" s="19"/>
      <c r="E18" s="19"/>
      <c r="G18" s="19"/>
      <c r="H18" s="19"/>
      <c r="J18" s="19"/>
      <c r="K18" s="19"/>
      <c r="M18" s="19"/>
      <c r="N18" s="19"/>
      <c r="P18" s="19"/>
      <c r="Q18" s="19"/>
      <c r="R18" s="1"/>
      <c r="S18" s="19"/>
      <c r="T18" s="19"/>
      <c r="U18" s="1"/>
      <c r="V18" s="19"/>
      <c r="W18" s="19"/>
      <c r="X18" s="1"/>
      <c r="Y18" s="19"/>
      <c r="Z18" s="19"/>
      <c r="AA18" s="1"/>
      <c r="AB18" s="19"/>
      <c r="AC18" s="19"/>
      <c r="AE18" s="19"/>
      <c r="AF18" s="19"/>
      <c r="AG18" s="1"/>
      <c r="AH18" s="19"/>
      <c r="AI18" s="19"/>
      <c r="AJ18" s="1"/>
      <c r="AK18" s="19"/>
      <c r="AL18" s="19"/>
      <c r="AM18" s="1"/>
      <c r="AN18" s="19"/>
      <c r="AO18" s="19"/>
      <c r="AP18" s="1"/>
      <c r="AQ18" s="19"/>
      <c r="AR18" s="19"/>
    </row>
    <row r="19" customFormat="false" ht="15.75" hidden="false" customHeight="false" outlineLevel="0" collapsed="false">
      <c r="A19" s="19"/>
      <c r="B19" s="19"/>
      <c r="D19" s="19"/>
      <c r="E19" s="19"/>
      <c r="G19" s="19"/>
      <c r="H19" s="19"/>
      <c r="J19" s="19"/>
      <c r="K19" s="19"/>
      <c r="M19" s="19"/>
      <c r="N19" s="19"/>
      <c r="P19" s="19"/>
      <c r="Q19" s="19"/>
      <c r="R19" s="1"/>
      <c r="S19" s="19"/>
      <c r="T19" s="19"/>
      <c r="U19" s="1"/>
      <c r="V19" s="19"/>
      <c r="W19" s="19"/>
      <c r="X19" s="1"/>
      <c r="Y19" s="19"/>
      <c r="Z19" s="19"/>
      <c r="AA19" s="1"/>
      <c r="AB19" s="19"/>
      <c r="AC19" s="19"/>
      <c r="AE19" s="19"/>
      <c r="AF19" s="19"/>
      <c r="AG19" s="1"/>
      <c r="AH19" s="19"/>
      <c r="AI19" s="19"/>
      <c r="AJ19" s="1"/>
      <c r="AK19" s="19"/>
      <c r="AL19" s="19"/>
      <c r="AM19" s="1"/>
      <c r="AN19" s="19"/>
      <c r="AO19" s="19"/>
      <c r="AP19" s="1"/>
      <c r="AQ19" s="19"/>
      <c r="AR19" s="19"/>
    </row>
    <row r="20" customFormat="false" ht="15.75" hidden="false" customHeight="false" outlineLevel="0" collapsed="false">
      <c r="A20" s="19"/>
      <c r="B20" s="19"/>
      <c r="D20" s="19"/>
      <c r="E20" s="19"/>
      <c r="G20" s="19"/>
      <c r="H20" s="19"/>
      <c r="J20" s="19"/>
      <c r="K20" s="19"/>
      <c r="M20" s="19"/>
      <c r="N20" s="19"/>
      <c r="P20" s="19"/>
      <c r="Q20" s="19"/>
      <c r="R20" s="1"/>
      <c r="S20" s="19"/>
      <c r="T20" s="19"/>
      <c r="U20" s="1"/>
      <c r="V20" s="19"/>
      <c r="W20" s="19"/>
      <c r="X20" s="1"/>
      <c r="Y20" s="19"/>
      <c r="Z20" s="19"/>
      <c r="AA20" s="1"/>
      <c r="AB20" s="19"/>
      <c r="AC20" s="19"/>
      <c r="AE20" s="19"/>
      <c r="AF20" s="19"/>
      <c r="AG20" s="1"/>
      <c r="AH20" s="19"/>
      <c r="AI20" s="19"/>
      <c r="AJ20" s="1"/>
      <c r="AK20" s="19"/>
      <c r="AL20" s="19"/>
      <c r="AM20" s="1"/>
      <c r="AN20" s="19"/>
      <c r="AO20" s="19"/>
      <c r="AP20" s="1"/>
      <c r="AQ20" s="19"/>
      <c r="AR20" s="19"/>
    </row>
    <row r="21" customFormat="false" ht="15.75" hidden="false" customHeight="false" outlineLevel="0" collapsed="false">
      <c r="A21" s="19"/>
      <c r="B21" s="19"/>
      <c r="D21" s="19"/>
      <c r="E21" s="19"/>
      <c r="G21" s="19"/>
      <c r="H21" s="19"/>
      <c r="J21" s="19"/>
      <c r="K21" s="19"/>
      <c r="M21" s="19"/>
      <c r="N21" s="19"/>
      <c r="P21" s="19"/>
      <c r="Q21" s="19"/>
      <c r="R21" s="1"/>
      <c r="S21" s="19"/>
      <c r="T21" s="19"/>
      <c r="U21" s="1"/>
      <c r="V21" s="19"/>
      <c r="W21" s="19"/>
      <c r="X21" s="1"/>
      <c r="Y21" s="19"/>
      <c r="Z21" s="19"/>
      <c r="AA21" s="1"/>
      <c r="AB21" s="19"/>
      <c r="AC21" s="19"/>
      <c r="AE21" s="19"/>
      <c r="AF21" s="19"/>
      <c r="AG21" s="1"/>
      <c r="AH21" s="19"/>
      <c r="AI21" s="19"/>
      <c r="AJ21" s="1"/>
      <c r="AK21" s="19"/>
      <c r="AL21" s="19"/>
      <c r="AM21" s="1"/>
      <c r="AN21" s="19"/>
      <c r="AO21" s="19"/>
      <c r="AP21" s="1"/>
      <c r="AQ21" s="19"/>
      <c r="AR21" s="19"/>
    </row>
    <row r="22" customFormat="false" ht="15.75" hidden="false" customHeight="false" outlineLevel="0" collapsed="false">
      <c r="A22" s="19"/>
      <c r="B22" s="19"/>
      <c r="D22" s="19"/>
      <c r="E22" s="19"/>
      <c r="G22" s="19"/>
      <c r="H22" s="19"/>
      <c r="J22" s="19"/>
      <c r="K22" s="19"/>
      <c r="M22" s="19"/>
      <c r="N22" s="19"/>
      <c r="P22" s="19"/>
      <c r="Q22" s="19"/>
      <c r="R22" s="1"/>
      <c r="S22" s="19"/>
      <c r="T22" s="19"/>
      <c r="U22" s="1"/>
      <c r="V22" s="19"/>
      <c r="W22" s="19"/>
      <c r="X22" s="1"/>
      <c r="Y22" s="19"/>
      <c r="Z22" s="19"/>
      <c r="AA22" s="1"/>
      <c r="AB22" s="19"/>
      <c r="AC22" s="19"/>
      <c r="AE22" s="19"/>
      <c r="AF22" s="19"/>
      <c r="AG22" s="1"/>
      <c r="AH22" s="19"/>
      <c r="AI22" s="19"/>
      <c r="AJ22" s="1"/>
      <c r="AK22" s="19"/>
      <c r="AL22" s="19"/>
      <c r="AM22" s="1"/>
      <c r="AN22" s="19"/>
      <c r="AO22" s="19"/>
      <c r="AP22" s="1"/>
      <c r="AQ22" s="19"/>
      <c r="AR22" s="19"/>
    </row>
    <row r="23" customFormat="false" ht="15.75" hidden="false" customHeight="false" outlineLevel="0" collapsed="false">
      <c r="A23" s="19"/>
      <c r="B23" s="19"/>
      <c r="D23" s="19"/>
      <c r="E23" s="19"/>
      <c r="G23" s="19"/>
      <c r="H23" s="19"/>
      <c r="J23" s="19"/>
      <c r="K23" s="19"/>
      <c r="M23" s="19"/>
      <c r="N23" s="19"/>
      <c r="P23" s="19"/>
      <c r="Q23" s="19"/>
      <c r="R23" s="1"/>
      <c r="S23" s="19"/>
      <c r="T23" s="19"/>
      <c r="U23" s="1"/>
      <c r="V23" s="19"/>
      <c r="W23" s="19"/>
      <c r="X23" s="1"/>
      <c r="Y23" s="19"/>
      <c r="Z23" s="19"/>
      <c r="AA23" s="1"/>
      <c r="AB23" s="19"/>
      <c r="AC23" s="19"/>
      <c r="AE23" s="19"/>
      <c r="AF23" s="19"/>
      <c r="AG23" s="1"/>
      <c r="AH23" s="19"/>
      <c r="AI23" s="19"/>
      <c r="AJ23" s="1"/>
      <c r="AK23" s="19"/>
      <c r="AL23" s="19"/>
      <c r="AM23" s="1"/>
      <c r="AN23" s="19"/>
      <c r="AO23" s="19"/>
      <c r="AP23" s="1"/>
      <c r="AQ23" s="19"/>
      <c r="AR23" s="19"/>
    </row>
    <row r="24" customFormat="false" ht="15.75" hidden="false" customHeight="false" outlineLevel="0" collapsed="false">
      <c r="A24" s="19"/>
      <c r="B24" s="19"/>
      <c r="D24" s="19"/>
      <c r="E24" s="19"/>
      <c r="G24" s="19"/>
      <c r="H24" s="19"/>
      <c r="J24" s="19"/>
      <c r="K24" s="19"/>
      <c r="M24" s="19"/>
      <c r="N24" s="19"/>
      <c r="P24" s="19"/>
      <c r="Q24" s="19"/>
      <c r="R24" s="1"/>
      <c r="S24" s="19"/>
      <c r="T24" s="19"/>
      <c r="U24" s="1"/>
      <c r="V24" s="19"/>
      <c r="W24" s="19"/>
      <c r="X24" s="1"/>
      <c r="Y24" s="19"/>
      <c r="Z24" s="19"/>
      <c r="AA24" s="1"/>
      <c r="AB24" s="19"/>
      <c r="AC24" s="19"/>
      <c r="AE24" s="19"/>
      <c r="AF24" s="19"/>
      <c r="AG24" s="1"/>
      <c r="AH24" s="19"/>
      <c r="AI24" s="19"/>
      <c r="AJ24" s="1"/>
      <c r="AK24" s="19"/>
      <c r="AL24" s="19"/>
      <c r="AM24" s="1"/>
      <c r="AN24" s="19"/>
      <c r="AO24" s="19"/>
      <c r="AP24" s="1"/>
      <c r="AQ24" s="19"/>
      <c r="AR24" s="19"/>
    </row>
    <row r="25" customFormat="false" ht="15.75" hidden="false" customHeight="false" outlineLevel="0" collapsed="false">
      <c r="A25" s="19"/>
      <c r="B25" s="19"/>
      <c r="D25" s="19"/>
      <c r="E25" s="19"/>
      <c r="G25" s="19"/>
      <c r="H25" s="19"/>
      <c r="J25" s="19"/>
      <c r="K25" s="19"/>
      <c r="M25" s="19"/>
      <c r="N25" s="19"/>
      <c r="P25" s="19"/>
      <c r="Q25" s="19"/>
      <c r="R25" s="1"/>
      <c r="S25" s="19"/>
      <c r="T25" s="19"/>
      <c r="U25" s="1"/>
      <c r="V25" s="19"/>
      <c r="W25" s="19"/>
      <c r="X25" s="1"/>
      <c r="Y25" s="19"/>
      <c r="Z25" s="19"/>
      <c r="AA25" s="1"/>
      <c r="AB25" s="19"/>
      <c r="AC25" s="19"/>
      <c r="AE25" s="19"/>
      <c r="AF25" s="19"/>
      <c r="AG25" s="1"/>
      <c r="AH25" s="19"/>
      <c r="AI25" s="19"/>
      <c r="AJ25" s="1"/>
      <c r="AK25" s="19"/>
      <c r="AL25" s="19"/>
      <c r="AM25" s="1"/>
      <c r="AN25" s="19"/>
      <c r="AO25" s="19"/>
      <c r="AP25" s="1"/>
      <c r="AQ25" s="19"/>
      <c r="AR25" s="19"/>
    </row>
    <row r="26" customFormat="false" ht="15.75" hidden="false" customHeight="false" outlineLevel="0" collapsed="false">
      <c r="A26" s="19"/>
      <c r="B26" s="19"/>
      <c r="D26" s="19"/>
      <c r="E26" s="19"/>
      <c r="G26" s="19"/>
      <c r="H26" s="19"/>
      <c r="J26" s="19"/>
      <c r="K26" s="19"/>
      <c r="M26" s="19"/>
      <c r="N26" s="19"/>
      <c r="P26" s="19"/>
      <c r="Q26" s="19"/>
      <c r="R26" s="1"/>
      <c r="S26" s="19"/>
      <c r="T26" s="19"/>
      <c r="U26" s="1"/>
      <c r="V26" s="19"/>
      <c r="W26" s="19"/>
      <c r="X26" s="1"/>
      <c r="Y26" s="19"/>
      <c r="Z26" s="19"/>
      <c r="AA26" s="1"/>
      <c r="AB26" s="19"/>
      <c r="AC26" s="19"/>
      <c r="AE26" s="19"/>
      <c r="AF26" s="19"/>
      <c r="AG26" s="1"/>
      <c r="AH26" s="19"/>
      <c r="AI26" s="19"/>
      <c r="AJ26" s="1"/>
      <c r="AK26" s="19"/>
      <c r="AL26" s="19"/>
      <c r="AM26" s="1"/>
      <c r="AN26" s="19"/>
      <c r="AO26" s="19"/>
      <c r="AP26" s="1"/>
      <c r="AQ26" s="19"/>
      <c r="AR26" s="19"/>
    </row>
    <row r="27" customFormat="false" ht="15.75" hidden="false" customHeight="false" outlineLevel="0" collapsed="false">
      <c r="A27" s="19"/>
      <c r="B27" s="19"/>
      <c r="D27" s="19"/>
      <c r="E27" s="19"/>
      <c r="G27" s="19"/>
      <c r="H27" s="19"/>
      <c r="J27" s="19"/>
      <c r="K27" s="19"/>
      <c r="M27" s="19"/>
      <c r="N27" s="19"/>
      <c r="P27" s="19"/>
      <c r="Q27" s="19"/>
      <c r="R27" s="1"/>
      <c r="S27" s="19"/>
      <c r="T27" s="19"/>
      <c r="U27" s="1"/>
      <c r="V27" s="19"/>
      <c r="W27" s="19"/>
      <c r="X27" s="1"/>
      <c r="Y27" s="19"/>
      <c r="Z27" s="19"/>
      <c r="AA27" s="1"/>
      <c r="AB27" s="19"/>
      <c r="AC27" s="19"/>
      <c r="AE27" s="19"/>
      <c r="AF27" s="19"/>
      <c r="AG27" s="1"/>
      <c r="AH27" s="19"/>
      <c r="AI27" s="19"/>
      <c r="AJ27" s="1"/>
      <c r="AK27" s="19"/>
      <c r="AL27" s="19"/>
      <c r="AM27" s="1"/>
      <c r="AN27" s="19"/>
      <c r="AO27" s="19"/>
      <c r="AP27" s="1"/>
      <c r="AQ27" s="19"/>
      <c r="AR27" s="19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23"/>
  <sheetViews>
    <sheetView showFormulas="false" showGridLines="fals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4" activeCellId="0" sqref="A4"/>
    </sheetView>
  </sheetViews>
  <sheetFormatPr defaultColWidth="10.59765625" defaultRowHeight="15.75" zeroHeight="false" outlineLevelRow="0" outlineLevelCol="0"/>
  <cols>
    <col collapsed="false" customWidth="true" hidden="false" outlineLevel="0" max="3" min="3" style="0" width="7"/>
    <col collapsed="false" customWidth="true" hidden="false" outlineLevel="0" max="6" min="6" style="0" width="5.66"/>
  </cols>
  <sheetData>
    <row r="2" customFormat="false" ht="15.75" hidden="false" customHeight="false" outlineLevel="0" collapsed="false">
      <c r="A2" s="31" t="s">
        <v>93</v>
      </c>
      <c r="B2" s="31"/>
      <c r="D2" s="32" t="s">
        <v>94</v>
      </c>
      <c r="E2" s="32"/>
      <c r="G2" s="33" t="s">
        <v>95</v>
      </c>
    </row>
    <row r="3" customFormat="false" ht="15.75" hidden="false" customHeight="false" outlineLevel="0" collapsed="false">
      <c r="A3" s="26" t="s">
        <v>91</v>
      </c>
      <c r="B3" s="26" t="s">
        <v>92</v>
      </c>
      <c r="D3" s="26" t="s">
        <v>91</v>
      </c>
      <c r="E3" s="26" t="s">
        <v>92</v>
      </c>
    </row>
    <row r="4" customFormat="false" ht="15.75" hidden="false" customHeight="false" outlineLevel="0" collapsed="false">
      <c r="A4" s="19"/>
      <c r="B4" s="19"/>
      <c r="D4" s="19"/>
      <c r="E4" s="19"/>
    </row>
    <row r="5" customFormat="false" ht="15.75" hidden="false" customHeight="false" outlineLevel="0" collapsed="false">
      <c r="A5" s="19"/>
      <c r="B5" s="19"/>
      <c r="D5" s="19"/>
      <c r="E5" s="19"/>
    </row>
    <row r="6" customFormat="false" ht="15.75" hidden="false" customHeight="false" outlineLevel="0" collapsed="false">
      <c r="A6" s="19"/>
      <c r="B6" s="19"/>
      <c r="D6" s="19"/>
      <c r="E6" s="19"/>
    </row>
    <row r="7" customFormat="false" ht="15.75" hidden="false" customHeight="false" outlineLevel="0" collapsed="false">
      <c r="A7" s="19"/>
      <c r="B7" s="19"/>
      <c r="D7" s="19"/>
      <c r="E7" s="19"/>
    </row>
    <row r="8" customFormat="false" ht="15.75" hidden="false" customHeight="false" outlineLevel="0" collapsed="false">
      <c r="A8" s="19"/>
      <c r="B8" s="19"/>
      <c r="D8" s="19"/>
      <c r="E8" s="19"/>
    </row>
    <row r="9" customFormat="false" ht="15.75" hidden="false" customHeight="false" outlineLevel="0" collapsed="false">
      <c r="A9" s="19"/>
      <c r="B9" s="19"/>
      <c r="D9" s="19"/>
      <c r="E9" s="19"/>
    </row>
    <row r="10" customFormat="false" ht="15.75" hidden="false" customHeight="false" outlineLevel="0" collapsed="false">
      <c r="A10" s="19"/>
      <c r="B10" s="19"/>
      <c r="D10" s="19"/>
      <c r="E10" s="19"/>
    </row>
    <row r="11" customFormat="false" ht="15.75" hidden="false" customHeight="false" outlineLevel="0" collapsed="false">
      <c r="A11" s="19"/>
      <c r="B11" s="19"/>
      <c r="D11" s="19"/>
      <c r="E11" s="19"/>
    </row>
    <row r="12" customFormat="false" ht="15.75" hidden="false" customHeight="false" outlineLevel="0" collapsed="false">
      <c r="A12" s="34"/>
      <c r="B12" s="34"/>
      <c r="D12" s="34"/>
      <c r="E12" s="34"/>
    </row>
    <row r="13" customFormat="false" ht="15.75" hidden="false" customHeight="false" outlineLevel="0" collapsed="false">
      <c r="A13" s="34"/>
      <c r="B13" s="34"/>
      <c r="D13" s="34"/>
      <c r="E13" s="34"/>
    </row>
    <row r="14" customFormat="false" ht="15.75" hidden="false" customHeight="false" outlineLevel="0" collapsed="false">
      <c r="A14" s="34"/>
      <c r="B14" s="34"/>
      <c r="D14" s="34"/>
      <c r="E14" s="34"/>
    </row>
    <row r="15" customFormat="false" ht="15.75" hidden="false" customHeight="false" outlineLevel="0" collapsed="false">
      <c r="A15" s="34"/>
      <c r="B15" s="34"/>
      <c r="D15" s="34"/>
      <c r="E15" s="34"/>
    </row>
    <row r="16" customFormat="false" ht="15.75" hidden="false" customHeight="false" outlineLevel="0" collapsed="false">
      <c r="A16" s="34"/>
      <c r="B16" s="34"/>
      <c r="D16" s="34"/>
      <c r="E16" s="34"/>
    </row>
    <row r="17" customFormat="false" ht="15.75" hidden="false" customHeight="false" outlineLevel="0" collapsed="false">
      <c r="A17" s="34"/>
      <c r="B17" s="34"/>
      <c r="D17" s="34"/>
      <c r="E17" s="34"/>
    </row>
    <row r="18" customFormat="false" ht="15.75" hidden="false" customHeight="false" outlineLevel="0" collapsed="false">
      <c r="A18" s="34"/>
      <c r="B18" s="34"/>
      <c r="D18" s="34"/>
      <c r="E18" s="34"/>
    </row>
    <row r="19" customFormat="false" ht="15.75" hidden="false" customHeight="false" outlineLevel="0" collapsed="false">
      <c r="A19" s="34"/>
      <c r="B19" s="34"/>
      <c r="D19" s="34"/>
      <c r="E19" s="34"/>
    </row>
    <row r="20" customFormat="false" ht="15.75" hidden="false" customHeight="false" outlineLevel="0" collapsed="false">
      <c r="A20" s="34"/>
      <c r="B20" s="34"/>
      <c r="D20" s="34"/>
      <c r="E20" s="34"/>
    </row>
    <row r="21" customFormat="false" ht="15.75" hidden="false" customHeight="false" outlineLevel="0" collapsed="false">
      <c r="A21" s="34"/>
      <c r="B21" s="34"/>
      <c r="D21" s="34"/>
      <c r="E21" s="34"/>
    </row>
    <row r="22" customFormat="false" ht="15.75" hidden="false" customHeight="false" outlineLevel="0" collapsed="false">
      <c r="A22" s="34"/>
      <c r="B22" s="34"/>
      <c r="D22" s="34"/>
      <c r="E22" s="34"/>
    </row>
    <row r="23" customFormat="false" ht="15.75" hidden="false" customHeight="false" outlineLevel="0" collapsed="false">
      <c r="A23" s="34"/>
      <c r="B23" s="34"/>
      <c r="D23" s="34"/>
      <c r="E23" s="34"/>
    </row>
  </sheetData>
  <mergeCells count="2">
    <mergeCell ref="A2:B2"/>
    <mergeCell ref="D2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16"/>
  <sheetViews>
    <sheetView showFormulas="false" showGridLines="fals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E14" activeCellId="0" sqref="E14"/>
    </sheetView>
  </sheetViews>
  <sheetFormatPr defaultColWidth="10.59765625" defaultRowHeight="15.75" zeroHeight="false" outlineLevelRow="0" outlineLevelCol="0"/>
  <cols>
    <col collapsed="false" customWidth="true" hidden="false" outlineLevel="0" max="1" min="1" style="1" width="6.83"/>
    <col collapsed="false" customWidth="true" hidden="false" outlineLevel="0" max="10" min="2" style="1" width="10.83"/>
    <col collapsed="false" customWidth="true" hidden="false" outlineLevel="0" max="11" min="11" style="0" width="47.84"/>
  </cols>
  <sheetData>
    <row r="2" customFormat="false" ht="15.75" hidden="false" customHeight="false" outlineLevel="0" collapsed="false">
      <c r="A2" s="35" t="s">
        <v>96</v>
      </c>
      <c r="B2" s="35" t="s">
        <v>97</v>
      </c>
      <c r="C2" s="35" t="s">
        <v>98</v>
      </c>
      <c r="D2" s="35" t="s">
        <v>99</v>
      </c>
      <c r="E2" s="35" t="s">
        <v>100</v>
      </c>
      <c r="F2" s="35" t="s">
        <v>101</v>
      </c>
      <c r="G2" s="35" t="s">
        <v>102</v>
      </c>
      <c r="H2" s="35" t="s">
        <v>103</v>
      </c>
      <c r="J2" s="21" t="s">
        <v>104</v>
      </c>
      <c r="K2" s="36" t="s">
        <v>5</v>
      </c>
    </row>
    <row r="3" customFormat="false" ht="15.75" hidden="false" customHeight="false" outlineLevel="0" collapsed="false">
      <c r="A3" s="19" t="n">
        <v>1</v>
      </c>
      <c r="B3" s="19" t="n">
        <v>500</v>
      </c>
      <c r="C3" s="19" t="n">
        <v>200</v>
      </c>
      <c r="D3" s="20" t="s">
        <v>100</v>
      </c>
      <c r="E3" s="19" t="n">
        <v>50</v>
      </c>
      <c r="F3" s="19"/>
      <c r="G3" s="19"/>
      <c r="H3" s="19"/>
      <c r="J3" s="1" t="s">
        <v>100</v>
      </c>
      <c r="K3" s="8" t="s">
        <v>105</v>
      </c>
    </row>
    <row r="4" customFormat="false" ht="15.75" hidden="false" customHeight="false" outlineLevel="0" collapsed="false">
      <c r="A4" s="19" t="n">
        <v>2</v>
      </c>
      <c r="B4" s="19"/>
      <c r="C4" s="19"/>
      <c r="D4" s="20"/>
      <c r="E4" s="19"/>
      <c r="F4" s="19"/>
      <c r="G4" s="19"/>
      <c r="H4" s="19"/>
      <c r="J4" s="1" t="s">
        <v>106</v>
      </c>
      <c r="K4" s="8" t="s">
        <v>107</v>
      </c>
    </row>
    <row r="5" customFormat="false" ht="15.75" hidden="false" customHeight="false" outlineLevel="0" collapsed="false">
      <c r="A5" s="19" t="n">
        <v>3</v>
      </c>
      <c r="B5" s="19"/>
      <c r="C5" s="19"/>
      <c r="D5" s="20"/>
      <c r="E5" s="19"/>
      <c r="F5" s="19"/>
      <c r="G5" s="19"/>
      <c r="H5" s="19"/>
      <c r="J5" s="1" t="s">
        <v>108</v>
      </c>
      <c r="K5" s="0" t="s">
        <v>109</v>
      </c>
    </row>
    <row r="6" customFormat="false" ht="15.75" hidden="false" customHeight="false" outlineLevel="0" collapsed="false">
      <c r="A6" s="19" t="n">
        <v>4</v>
      </c>
      <c r="B6" s="19"/>
      <c r="C6" s="19"/>
      <c r="D6" s="20"/>
      <c r="E6" s="19"/>
      <c r="F6" s="19"/>
      <c r="G6" s="19"/>
      <c r="H6" s="19"/>
    </row>
    <row r="7" customFormat="false" ht="15.75" hidden="false" customHeight="false" outlineLevel="0" collapsed="false">
      <c r="A7" s="19" t="n">
        <v>5</v>
      </c>
      <c r="B7" s="19"/>
      <c r="C7" s="19"/>
      <c r="D7" s="20"/>
      <c r="E7" s="19"/>
      <c r="F7" s="19"/>
      <c r="G7" s="19"/>
      <c r="H7" s="19"/>
    </row>
    <row r="8" customFormat="false" ht="15.75" hidden="false" customHeight="false" outlineLevel="0" collapsed="false">
      <c r="A8" s="19" t="n">
        <v>6</v>
      </c>
      <c r="B8" s="19"/>
      <c r="C8" s="19"/>
      <c r="D8" s="20"/>
      <c r="E8" s="19"/>
      <c r="F8" s="19"/>
      <c r="G8" s="19"/>
      <c r="H8" s="19"/>
    </row>
    <row r="9" customFormat="false" ht="15.75" hidden="false" customHeight="false" outlineLevel="0" collapsed="false">
      <c r="A9" s="19" t="n">
        <v>7</v>
      </c>
      <c r="B9" s="19"/>
      <c r="C9" s="19"/>
      <c r="D9" s="20"/>
      <c r="E9" s="19"/>
      <c r="F9" s="19"/>
      <c r="G9" s="19"/>
      <c r="H9" s="19"/>
    </row>
    <row r="10" customFormat="false" ht="15.75" hidden="false" customHeight="false" outlineLevel="0" collapsed="false">
      <c r="A10" s="19" t="n">
        <v>8</v>
      </c>
      <c r="B10" s="19"/>
      <c r="C10" s="19"/>
      <c r="D10" s="20"/>
      <c r="E10" s="19"/>
      <c r="F10" s="19"/>
      <c r="G10" s="19"/>
      <c r="H10" s="19"/>
    </row>
    <row r="11" customFormat="false" ht="15.75" hidden="false" customHeight="false" outlineLevel="0" collapsed="false">
      <c r="A11" s="19" t="n">
        <v>9</v>
      </c>
      <c r="B11" s="19"/>
      <c r="C11" s="19"/>
      <c r="D11" s="20"/>
      <c r="E11" s="19"/>
      <c r="F11" s="19"/>
      <c r="G11" s="19"/>
      <c r="H11" s="19"/>
    </row>
    <row r="12" customFormat="false" ht="15.75" hidden="false" customHeight="false" outlineLevel="0" collapsed="false">
      <c r="A12" s="19" t="n">
        <v>10</v>
      </c>
      <c r="B12" s="19"/>
      <c r="C12" s="19"/>
      <c r="D12" s="20"/>
      <c r="E12" s="19"/>
      <c r="F12" s="19"/>
      <c r="G12" s="19"/>
      <c r="H12" s="19"/>
    </row>
    <row r="16" customFormat="false" ht="15.75" hidden="false" customHeight="false" outlineLevel="0" collapsed="false">
      <c r="K16" s="1"/>
      <c r="L16" s="1"/>
      <c r="M16" s="1"/>
      <c r="N16" s="1"/>
    </row>
  </sheetData>
  <conditionalFormatting sqref="H3:H42">
    <cfRule type="expression" priority="2" aboveAverage="0" equalAverage="0" bottom="0" percent="0" rank="0" text="" dxfId="2">
      <formula>OR($D3="Depth",$D3="Intercept")</formula>
    </cfRule>
  </conditionalFormatting>
  <conditionalFormatting sqref="F3:G42">
    <cfRule type="expression" priority="3" aboveAverage="0" equalAverage="0" bottom="0" percent="0" rank="0" text="" dxfId="2">
      <formula>OR($D3="Depth",$D3="Radius")</formula>
    </cfRule>
  </conditionalFormatting>
  <conditionalFormatting sqref="E3:E42">
    <cfRule type="expression" priority="4" aboveAverage="0" equalAverage="0" bottom="0" percent="0" rank="0" text="" dxfId="2">
      <formula>OR($D3="Intercept", $D3="Radius")</formula>
    </cfRule>
  </conditionalFormatting>
  <dataValidations count="1">
    <dataValidation allowBlank="true" errorStyle="stop" operator="between" showDropDown="false" showErrorMessage="true" showInputMessage="true" sqref="D3:D52" type="list">
      <formula1>$J$3:$J$5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23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F26" activeCellId="0" sqref="F26"/>
    </sheetView>
  </sheetViews>
  <sheetFormatPr defaultColWidth="10.59765625" defaultRowHeight="15.75" zeroHeight="false" outlineLevelRow="0" outlineLevelCol="0"/>
  <cols>
    <col collapsed="false" customWidth="true" hidden="false" outlineLevel="0" max="2" min="1" style="1" width="10.83"/>
    <col collapsed="false" customWidth="true" hidden="false" outlineLevel="0" max="3" min="3" style="1" width="13.66"/>
    <col collapsed="false" customWidth="true" hidden="false" outlineLevel="0" max="6" min="6" style="0" width="33.66"/>
  </cols>
  <sheetData>
    <row r="2" customFormat="false" ht="15.75" hidden="false" customHeight="false" outlineLevel="0" collapsed="false">
      <c r="A2" s="37" t="s">
        <v>110</v>
      </c>
      <c r="B2" s="37" t="s">
        <v>111</v>
      </c>
      <c r="C2" s="38" t="s">
        <v>112</v>
      </c>
      <c r="E2" s="9" t="s">
        <v>104</v>
      </c>
      <c r="F2" s="9" t="s">
        <v>5</v>
      </c>
    </row>
    <row r="3" customFormat="false" ht="15.75" hidden="false" customHeight="false" outlineLevel="0" collapsed="false">
      <c r="A3" s="19"/>
      <c r="B3" s="19"/>
      <c r="C3" s="19"/>
      <c r="E3" s="0" t="s">
        <v>113</v>
      </c>
      <c r="F3" s="0" t="s">
        <v>114</v>
      </c>
    </row>
    <row r="4" customFormat="false" ht="15.75" hidden="false" customHeight="false" outlineLevel="0" collapsed="false">
      <c r="A4" s="19"/>
      <c r="B4" s="19"/>
      <c r="C4" s="19"/>
      <c r="E4" s="0" t="s">
        <v>115</v>
      </c>
      <c r="F4" s="0" t="s">
        <v>116</v>
      </c>
    </row>
    <row r="5" customFormat="false" ht="15.75" hidden="false" customHeight="false" outlineLevel="0" collapsed="false">
      <c r="A5" s="19"/>
      <c r="B5" s="19"/>
      <c r="C5" s="19"/>
      <c r="E5" s="0" t="s">
        <v>117</v>
      </c>
      <c r="F5" s="0" t="s">
        <v>118</v>
      </c>
    </row>
    <row r="6" customFormat="false" ht="15.75" hidden="false" customHeight="false" outlineLevel="0" collapsed="false">
      <c r="A6" s="19"/>
      <c r="B6" s="19"/>
      <c r="C6" s="19"/>
    </row>
    <row r="7" customFormat="false" ht="15.75" hidden="false" customHeight="false" outlineLevel="0" collapsed="false">
      <c r="A7" s="19"/>
      <c r="B7" s="19"/>
      <c r="C7" s="19"/>
    </row>
    <row r="8" customFormat="false" ht="15.75" hidden="false" customHeight="false" outlineLevel="0" collapsed="false">
      <c r="A8" s="19"/>
      <c r="B8" s="19"/>
      <c r="C8" s="19"/>
    </row>
    <row r="9" customFormat="false" ht="15.75" hidden="false" customHeight="false" outlineLevel="0" collapsed="false">
      <c r="A9" s="19"/>
      <c r="B9" s="19"/>
      <c r="C9" s="19"/>
    </row>
    <row r="10" customFormat="false" ht="15.75" hidden="false" customHeight="false" outlineLevel="0" collapsed="false">
      <c r="A10" s="19"/>
      <c r="B10" s="19"/>
      <c r="C10" s="19"/>
    </row>
    <row r="11" customFormat="false" ht="15.75" hidden="false" customHeight="false" outlineLevel="0" collapsed="false">
      <c r="A11" s="19"/>
      <c r="B11" s="19"/>
      <c r="C11" s="19"/>
    </row>
    <row r="12" customFormat="false" ht="15.75" hidden="false" customHeight="false" outlineLevel="0" collapsed="false">
      <c r="A12" s="19"/>
      <c r="B12" s="19"/>
      <c r="C12" s="19"/>
    </row>
    <row r="13" customFormat="false" ht="15.75" hidden="false" customHeight="false" outlineLevel="0" collapsed="false">
      <c r="A13" s="19"/>
      <c r="B13" s="19"/>
      <c r="C13" s="19"/>
    </row>
    <row r="14" customFormat="false" ht="15.75" hidden="false" customHeight="false" outlineLevel="0" collapsed="false">
      <c r="A14" s="19"/>
      <c r="B14" s="19"/>
      <c r="C14" s="19"/>
    </row>
    <row r="15" customFormat="false" ht="15.75" hidden="false" customHeight="false" outlineLevel="0" collapsed="false">
      <c r="A15" s="19"/>
      <c r="B15" s="19"/>
      <c r="C15" s="19"/>
    </row>
    <row r="16" customFormat="false" ht="15.75" hidden="false" customHeight="false" outlineLevel="0" collapsed="false">
      <c r="A16" s="19"/>
      <c r="B16" s="19"/>
      <c r="C16" s="19"/>
    </row>
    <row r="17" customFormat="false" ht="15.75" hidden="false" customHeight="false" outlineLevel="0" collapsed="false">
      <c r="A17" s="19"/>
      <c r="B17" s="19"/>
      <c r="C17" s="19"/>
    </row>
    <row r="18" customFormat="false" ht="15.75" hidden="false" customHeight="false" outlineLevel="0" collapsed="false">
      <c r="A18" s="19"/>
      <c r="B18" s="19"/>
      <c r="C18" s="19"/>
    </row>
    <row r="19" customFormat="false" ht="15.75" hidden="false" customHeight="false" outlineLevel="0" collapsed="false">
      <c r="A19" s="19"/>
      <c r="B19" s="19"/>
      <c r="C19" s="19"/>
    </row>
    <row r="20" customFormat="false" ht="15.75" hidden="false" customHeight="false" outlineLevel="0" collapsed="false">
      <c r="A20" s="19"/>
      <c r="B20" s="19"/>
      <c r="C20" s="19"/>
    </row>
    <row r="21" customFormat="false" ht="15.75" hidden="false" customHeight="false" outlineLevel="0" collapsed="false">
      <c r="A21" s="19"/>
      <c r="B21" s="19"/>
      <c r="C21" s="19"/>
    </row>
    <row r="22" customFormat="false" ht="15.75" hidden="false" customHeight="false" outlineLevel="0" collapsed="false">
      <c r="A22" s="19"/>
      <c r="B22" s="19"/>
      <c r="C22" s="19"/>
    </row>
    <row r="23" customFormat="false" ht="15.75" hidden="false" customHeight="false" outlineLevel="0" collapsed="false">
      <c r="A23" s="19"/>
      <c r="B23" s="19"/>
      <c r="C23" s="19"/>
    </row>
  </sheetData>
  <dataValidations count="1">
    <dataValidation allowBlank="true" errorStyle="stop" operator="between" showDropDown="false" showErrorMessage="true" showInputMessage="true" sqref="C3:C23" type="list">
      <formula1>$E$3:$E$5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X22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5" activeCellId="0" sqref="D5"/>
    </sheetView>
  </sheetViews>
  <sheetFormatPr defaultColWidth="10.59765625" defaultRowHeight="15.75" zeroHeight="false" outlineLevelRow="0" outlineLevelCol="0"/>
  <cols>
    <col collapsed="false" customWidth="true" hidden="false" outlineLevel="0" max="1" min="1" style="0" width="3"/>
    <col collapsed="false" customWidth="true" hidden="false" outlineLevel="0" max="4" min="2" style="0" width="7.66"/>
    <col collapsed="false" customWidth="true" hidden="false" outlineLevel="0" max="5" min="5" style="0" width="3"/>
    <col collapsed="false" customWidth="true" hidden="false" outlineLevel="0" max="8" min="6" style="0" width="7.66"/>
    <col collapsed="false" customWidth="true" hidden="false" outlineLevel="0" max="9" min="9" style="0" width="3"/>
    <col collapsed="false" customWidth="true" hidden="false" outlineLevel="0" max="12" min="10" style="0" width="7.66"/>
    <col collapsed="false" customWidth="true" hidden="false" outlineLevel="0" max="13" min="13" style="0" width="3"/>
    <col collapsed="false" customWidth="true" hidden="false" outlineLevel="0" max="16" min="14" style="0" width="7.66"/>
    <col collapsed="false" customWidth="true" hidden="false" outlineLevel="0" max="17" min="17" style="0" width="3"/>
    <col collapsed="false" customWidth="true" hidden="false" outlineLevel="0" max="20" min="18" style="0" width="7.66"/>
    <col collapsed="false" customWidth="true" hidden="false" outlineLevel="0" max="21" min="21" style="0" width="3"/>
    <col collapsed="false" customWidth="true" hidden="false" outlineLevel="0" max="24" min="22" style="0" width="7.66"/>
  </cols>
  <sheetData>
    <row r="2" customFormat="false" ht="15.75" hidden="false" customHeight="false" outlineLevel="0" collapsed="false">
      <c r="B2" s="39" t="s">
        <v>119</v>
      </c>
      <c r="C2" s="39"/>
      <c r="D2" s="39"/>
      <c r="F2" s="39" t="s">
        <v>120</v>
      </c>
      <c r="G2" s="39"/>
      <c r="H2" s="39"/>
      <c r="J2" s="39" t="s">
        <v>121</v>
      </c>
      <c r="K2" s="39"/>
      <c r="L2" s="39"/>
      <c r="N2" s="39" t="s">
        <v>122</v>
      </c>
      <c r="O2" s="39"/>
      <c r="P2" s="39"/>
      <c r="R2" s="39" t="s">
        <v>123</v>
      </c>
      <c r="S2" s="39"/>
      <c r="T2" s="39"/>
      <c r="V2" s="39" t="s">
        <v>124</v>
      </c>
      <c r="W2" s="39"/>
      <c r="X2" s="39"/>
    </row>
    <row r="3" customFormat="false" ht="15.75" hidden="false" customHeight="false" outlineLevel="0" collapsed="false">
      <c r="B3" s="26" t="s">
        <v>110</v>
      </c>
      <c r="C3" s="26" t="s">
        <v>111</v>
      </c>
      <c r="D3" s="26" t="s">
        <v>125</v>
      </c>
      <c r="F3" s="26" t="s">
        <v>110</v>
      </c>
      <c r="G3" s="26" t="s">
        <v>111</v>
      </c>
      <c r="H3" s="26" t="s">
        <v>125</v>
      </c>
      <c r="J3" s="26" t="s">
        <v>110</v>
      </c>
      <c r="K3" s="26" t="s">
        <v>111</v>
      </c>
      <c r="L3" s="26" t="s">
        <v>125</v>
      </c>
      <c r="N3" s="26" t="s">
        <v>110</v>
      </c>
      <c r="O3" s="26" t="s">
        <v>111</v>
      </c>
      <c r="P3" s="26" t="s">
        <v>125</v>
      </c>
      <c r="R3" s="26" t="s">
        <v>110</v>
      </c>
      <c r="S3" s="26" t="s">
        <v>111</v>
      </c>
      <c r="T3" s="26" t="s">
        <v>125</v>
      </c>
      <c r="V3" s="26" t="s">
        <v>110</v>
      </c>
      <c r="W3" s="26" t="s">
        <v>111</v>
      </c>
      <c r="X3" s="26" t="s">
        <v>125</v>
      </c>
    </row>
    <row r="4" customFormat="false" ht="15.75" hidden="false" customHeight="false" outlineLevel="0" collapsed="false">
      <c r="B4" s="19" t="n">
        <v>0</v>
      </c>
      <c r="C4" s="19" t="n">
        <v>100</v>
      </c>
      <c r="D4" s="19" t="n">
        <f aca="false">60*62.4</f>
        <v>3744</v>
      </c>
      <c r="F4" s="19"/>
      <c r="G4" s="19"/>
      <c r="H4" s="19"/>
      <c r="J4" s="19"/>
      <c r="K4" s="19"/>
      <c r="L4" s="19"/>
      <c r="N4" s="19"/>
      <c r="O4" s="19"/>
      <c r="P4" s="19"/>
      <c r="R4" s="19"/>
      <c r="S4" s="19"/>
      <c r="T4" s="19"/>
      <c r="V4" s="19"/>
      <c r="W4" s="19"/>
      <c r="X4" s="19"/>
    </row>
    <row r="5" customFormat="false" ht="15.75" hidden="false" customHeight="false" outlineLevel="0" collapsed="false">
      <c r="B5" s="19" t="n">
        <v>200</v>
      </c>
      <c r="C5" s="19" t="n">
        <v>100</v>
      </c>
      <c r="D5" s="19" t="n">
        <f aca="false">D4</f>
        <v>3744</v>
      </c>
      <c r="F5" s="19"/>
      <c r="G5" s="19"/>
      <c r="H5" s="19"/>
      <c r="J5" s="19"/>
      <c r="K5" s="19"/>
      <c r="L5" s="19"/>
      <c r="N5" s="19"/>
      <c r="O5" s="19"/>
      <c r="P5" s="19"/>
      <c r="R5" s="19"/>
      <c r="S5" s="19"/>
      <c r="T5" s="19"/>
      <c r="V5" s="19"/>
      <c r="W5" s="19"/>
      <c r="X5" s="19"/>
    </row>
    <row r="6" customFormat="false" ht="15.75" hidden="false" customHeight="false" outlineLevel="0" collapsed="false">
      <c r="B6" s="19" t="n">
        <v>320</v>
      </c>
      <c r="C6" s="19" t="n">
        <v>160</v>
      </c>
      <c r="D6" s="19" t="n">
        <v>0</v>
      </c>
      <c r="F6" s="19"/>
      <c r="G6" s="19"/>
      <c r="H6" s="19"/>
      <c r="J6" s="19"/>
      <c r="K6" s="19"/>
      <c r="L6" s="19"/>
      <c r="N6" s="19"/>
      <c r="O6" s="19"/>
      <c r="P6" s="19"/>
      <c r="R6" s="19"/>
      <c r="S6" s="19"/>
      <c r="T6" s="19"/>
      <c r="V6" s="19"/>
      <c r="W6" s="19"/>
      <c r="X6" s="19"/>
    </row>
    <row r="7" customFormat="false" ht="15.75" hidden="false" customHeight="false" outlineLevel="0" collapsed="false">
      <c r="B7" s="19"/>
      <c r="C7" s="19"/>
      <c r="D7" s="19"/>
      <c r="F7" s="19"/>
      <c r="G7" s="19"/>
      <c r="H7" s="19"/>
      <c r="J7" s="19"/>
      <c r="K7" s="19"/>
      <c r="L7" s="19"/>
      <c r="N7" s="19"/>
      <c r="O7" s="19"/>
      <c r="P7" s="19"/>
      <c r="R7" s="19"/>
      <c r="S7" s="19"/>
      <c r="T7" s="19"/>
      <c r="V7" s="19"/>
      <c r="W7" s="19"/>
      <c r="X7" s="19"/>
    </row>
    <row r="8" customFormat="false" ht="15.75" hidden="false" customHeight="false" outlineLevel="0" collapsed="false">
      <c r="B8" s="19"/>
      <c r="C8" s="19"/>
      <c r="D8" s="19"/>
      <c r="F8" s="19"/>
      <c r="G8" s="19"/>
      <c r="H8" s="19"/>
      <c r="J8" s="19"/>
      <c r="K8" s="19"/>
      <c r="L8" s="19"/>
      <c r="N8" s="19"/>
      <c r="O8" s="19"/>
      <c r="P8" s="19"/>
      <c r="R8" s="19"/>
      <c r="S8" s="19"/>
      <c r="T8" s="19"/>
      <c r="V8" s="19"/>
      <c r="W8" s="19"/>
      <c r="X8" s="19"/>
    </row>
    <row r="9" customFormat="false" ht="15.75" hidden="false" customHeight="false" outlineLevel="0" collapsed="false">
      <c r="B9" s="19"/>
      <c r="C9" s="19"/>
      <c r="D9" s="19"/>
      <c r="F9" s="19"/>
      <c r="G9" s="19"/>
      <c r="H9" s="19"/>
      <c r="J9" s="19"/>
      <c r="K9" s="19"/>
      <c r="L9" s="19"/>
      <c r="N9" s="19"/>
      <c r="O9" s="19"/>
      <c r="P9" s="19"/>
      <c r="R9" s="19"/>
      <c r="S9" s="19"/>
      <c r="T9" s="19"/>
      <c r="V9" s="19"/>
      <c r="W9" s="19"/>
      <c r="X9" s="19"/>
    </row>
    <row r="10" customFormat="false" ht="15.75" hidden="false" customHeight="false" outlineLevel="0" collapsed="false">
      <c r="B10" s="19"/>
      <c r="C10" s="19"/>
      <c r="D10" s="19"/>
      <c r="F10" s="19"/>
      <c r="G10" s="19"/>
      <c r="H10" s="19"/>
      <c r="J10" s="19"/>
      <c r="K10" s="19"/>
      <c r="L10" s="19"/>
      <c r="N10" s="19"/>
      <c r="O10" s="19"/>
      <c r="P10" s="19"/>
      <c r="R10" s="19"/>
      <c r="S10" s="19"/>
      <c r="T10" s="19"/>
      <c r="V10" s="19"/>
      <c r="W10" s="19"/>
      <c r="X10" s="19"/>
    </row>
    <row r="11" customFormat="false" ht="15.75" hidden="false" customHeight="false" outlineLevel="0" collapsed="false">
      <c r="B11" s="19"/>
      <c r="C11" s="19"/>
      <c r="D11" s="19"/>
      <c r="F11" s="19"/>
      <c r="G11" s="19"/>
      <c r="H11" s="19"/>
      <c r="J11" s="19"/>
      <c r="K11" s="19"/>
      <c r="L11" s="19"/>
      <c r="N11" s="19"/>
      <c r="O11" s="19"/>
      <c r="P11" s="19"/>
      <c r="R11" s="19"/>
      <c r="S11" s="19"/>
      <c r="T11" s="19"/>
      <c r="V11" s="19"/>
      <c r="W11" s="19"/>
      <c r="X11" s="19"/>
    </row>
    <row r="12" customFormat="false" ht="15.75" hidden="false" customHeight="false" outlineLevel="0" collapsed="false">
      <c r="B12" s="19"/>
      <c r="C12" s="19"/>
      <c r="D12" s="19"/>
      <c r="F12" s="19"/>
      <c r="G12" s="19"/>
      <c r="H12" s="19"/>
      <c r="J12" s="19"/>
      <c r="K12" s="19"/>
      <c r="L12" s="19"/>
      <c r="N12" s="19"/>
      <c r="O12" s="19"/>
      <c r="P12" s="19"/>
      <c r="R12" s="19"/>
      <c r="S12" s="19"/>
      <c r="T12" s="19"/>
      <c r="V12" s="19"/>
      <c r="W12" s="19"/>
      <c r="X12" s="19"/>
    </row>
    <row r="13" customFormat="false" ht="15.75" hidden="false" customHeight="false" outlineLevel="0" collapsed="false">
      <c r="B13" s="19"/>
      <c r="C13" s="19"/>
      <c r="D13" s="19"/>
      <c r="F13" s="19"/>
      <c r="G13" s="19"/>
      <c r="H13" s="19"/>
      <c r="J13" s="19"/>
      <c r="K13" s="19"/>
      <c r="L13" s="19"/>
      <c r="N13" s="19"/>
      <c r="O13" s="19"/>
      <c r="P13" s="19"/>
      <c r="R13" s="19"/>
      <c r="S13" s="19"/>
      <c r="T13" s="19"/>
      <c r="V13" s="19"/>
      <c r="W13" s="19"/>
      <c r="X13" s="19"/>
    </row>
    <row r="14" customFormat="false" ht="15.75" hidden="false" customHeight="false" outlineLevel="0" collapsed="false">
      <c r="B14" s="19"/>
      <c r="C14" s="19"/>
      <c r="D14" s="19"/>
      <c r="F14" s="19"/>
      <c r="G14" s="19"/>
      <c r="H14" s="19"/>
      <c r="J14" s="19"/>
      <c r="K14" s="19"/>
      <c r="L14" s="19"/>
      <c r="N14" s="19"/>
      <c r="O14" s="19"/>
      <c r="P14" s="19"/>
      <c r="R14" s="19"/>
      <c r="S14" s="19"/>
      <c r="T14" s="19"/>
      <c r="V14" s="19"/>
      <c r="W14" s="19"/>
      <c r="X14" s="19"/>
    </row>
    <row r="15" customFormat="false" ht="15.75" hidden="false" customHeight="false" outlineLevel="0" collapsed="false">
      <c r="B15" s="19"/>
      <c r="C15" s="19"/>
      <c r="D15" s="19"/>
      <c r="F15" s="19"/>
      <c r="G15" s="19"/>
      <c r="H15" s="19"/>
      <c r="J15" s="19"/>
      <c r="K15" s="19"/>
      <c r="L15" s="19"/>
      <c r="N15" s="19"/>
      <c r="O15" s="19"/>
      <c r="P15" s="19"/>
      <c r="R15" s="19"/>
      <c r="S15" s="19"/>
      <c r="T15" s="19"/>
      <c r="V15" s="19"/>
      <c r="W15" s="19"/>
      <c r="X15" s="19"/>
    </row>
    <row r="16" customFormat="false" ht="15.75" hidden="false" customHeight="false" outlineLevel="0" collapsed="false">
      <c r="B16" s="19"/>
      <c r="C16" s="19"/>
      <c r="D16" s="19"/>
      <c r="F16" s="19"/>
      <c r="G16" s="19"/>
      <c r="H16" s="19"/>
      <c r="J16" s="19"/>
      <c r="K16" s="19"/>
      <c r="L16" s="19"/>
      <c r="N16" s="19"/>
      <c r="O16" s="19"/>
      <c r="P16" s="19"/>
      <c r="R16" s="19"/>
      <c r="S16" s="19"/>
      <c r="T16" s="19"/>
      <c r="V16" s="19"/>
      <c r="W16" s="19"/>
      <c r="X16" s="19"/>
    </row>
    <row r="17" customFormat="false" ht="15.75" hidden="false" customHeight="false" outlineLevel="0" collapsed="false">
      <c r="B17" s="19"/>
      <c r="C17" s="19"/>
      <c r="D17" s="19"/>
      <c r="F17" s="19"/>
      <c r="G17" s="19"/>
      <c r="H17" s="19"/>
      <c r="J17" s="19"/>
      <c r="K17" s="19"/>
      <c r="L17" s="19"/>
      <c r="N17" s="19"/>
      <c r="O17" s="19"/>
      <c r="P17" s="19"/>
      <c r="R17" s="19"/>
      <c r="S17" s="19"/>
      <c r="T17" s="19"/>
      <c r="V17" s="19"/>
      <c r="W17" s="19"/>
      <c r="X17" s="19"/>
    </row>
    <row r="18" customFormat="false" ht="15.75" hidden="false" customHeight="false" outlineLevel="0" collapsed="false">
      <c r="B18" s="19"/>
      <c r="C18" s="19"/>
      <c r="D18" s="19"/>
      <c r="F18" s="19"/>
      <c r="G18" s="19"/>
      <c r="H18" s="19"/>
      <c r="J18" s="19"/>
      <c r="K18" s="19"/>
      <c r="L18" s="19"/>
      <c r="N18" s="19"/>
      <c r="O18" s="19"/>
      <c r="P18" s="19"/>
      <c r="R18" s="19"/>
      <c r="S18" s="19"/>
      <c r="T18" s="19"/>
      <c r="V18" s="19"/>
      <c r="W18" s="19"/>
      <c r="X18" s="19"/>
    </row>
    <row r="19" customFormat="false" ht="15.75" hidden="false" customHeight="false" outlineLevel="0" collapsed="false">
      <c r="B19" s="19"/>
      <c r="C19" s="19"/>
      <c r="D19" s="19"/>
      <c r="F19" s="19"/>
      <c r="G19" s="19"/>
      <c r="H19" s="19"/>
      <c r="J19" s="19"/>
      <c r="K19" s="19"/>
      <c r="L19" s="19"/>
      <c r="N19" s="19"/>
      <c r="O19" s="19"/>
      <c r="P19" s="19"/>
      <c r="R19" s="19"/>
      <c r="S19" s="19"/>
      <c r="T19" s="19"/>
      <c r="V19" s="19"/>
      <c r="W19" s="19"/>
      <c r="X19" s="19"/>
    </row>
    <row r="20" customFormat="false" ht="15.75" hidden="false" customHeight="false" outlineLevel="0" collapsed="false">
      <c r="B20" s="19"/>
      <c r="C20" s="19"/>
      <c r="D20" s="19"/>
      <c r="F20" s="19"/>
      <c r="G20" s="19"/>
      <c r="H20" s="19"/>
      <c r="J20" s="19"/>
      <c r="K20" s="19"/>
      <c r="L20" s="19"/>
      <c r="N20" s="19"/>
      <c r="O20" s="19"/>
      <c r="P20" s="19"/>
      <c r="R20" s="19"/>
      <c r="S20" s="19"/>
      <c r="T20" s="19"/>
      <c r="V20" s="19"/>
      <c r="W20" s="19"/>
      <c r="X20" s="19"/>
    </row>
    <row r="21" customFormat="false" ht="15.75" hidden="false" customHeight="false" outlineLevel="0" collapsed="false">
      <c r="B21" s="19"/>
      <c r="C21" s="19"/>
      <c r="D21" s="19"/>
      <c r="F21" s="19"/>
      <c r="G21" s="19"/>
      <c r="H21" s="19"/>
      <c r="J21" s="19"/>
      <c r="K21" s="19"/>
      <c r="L21" s="19"/>
      <c r="N21" s="19"/>
      <c r="O21" s="19"/>
      <c r="P21" s="19"/>
      <c r="R21" s="19"/>
      <c r="S21" s="19"/>
      <c r="T21" s="19"/>
      <c r="V21" s="19"/>
      <c r="W21" s="19"/>
      <c r="X21" s="19"/>
    </row>
    <row r="22" customFormat="false" ht="15.75" hidden="false" customHeight="false" outlineLevel="0" collapsed="false">
      <c r="B22" s="19"/>
      <c r="C22" s="19"/>
      <c r="D22" s="19"/>
      <c r="F22" s="19"/>
      <c r="G22" s="19"/>
      <c r="H22" s="19"/>
      <c r="J22" s="19"/>
      <c r="K22" s="19"/>
      <c r="L22" s="19"/>
      <c r="N22" s="19"/>
      <c r="O22" s="19"/>
      <c r="P22" s="19"/>
      <c r="R22" s="19"/>
      <c r="S22" s="19"/>
      <c r="T22" s="19"/>
      <c r="V22" s="19"/>
      <c r="W22" s="19"/>
      <c r="X22" s="19"/>
    </row>
  </sheetData>
  <mergeCells count="6">
    <mergeCell ref="B2:D2"/>
    <mergeCell ref="F2:H2"/>
    <mergeCell ref="J2:L2"/>
    <mergeCell ref="N2:P2"/>
    <mergeCell ref="R2:T2"/>
    <mergeCell ref="V2:X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X22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4" activeCellId="0" sqref="B4"/>
    </sheetView>
  </sheetViews>
  <sheetFormatPr defaultColWidth="10.59765625" defaultRowHeight="15.75" zeroHeight="false" outlineLevelRow="0" outlineLevelCol="0"/>
  <cols>
    <col collapsed="false" customWidth="true" hidden="false" outlineLevel="0" max="1" min="1" style="0" width="3"/>
    <col collapsed="false" customWidth="true" hidden="false" outlineLevel="0" max="4" min="2" style="0" width="7.66"/>
    <col collapsed="false" customWidth="true" hidden="false" outlineLevel="0" max="5" min="5" style="0" width="3"/>
    <col collapsed="false" customWidth="true" hidden="false" outlineLevel="0" max="8" min="6" style="0" width="7.66"/>
    <col collapsed="false" customWidth="true" hidden="false" outlineLevel="0" max="9" min="9" style="0" width="3"/>
    <col collapsed="false" customWidth="true" hidden="false" outlineLevel="0" max="12" min="10" style="0" width="7.66"/>
    <col collapsed="false" customWidth="true" hidden="false" outlineLevel="0" max="13" min="13" style="0" width="3"/>
    <col collapsed="false" customWidth="true" hidden="false" outlineLevel="0" max="16" min="14" style="0" width="7.66"/>
    <col collapsed="false" customWidth="true" hidden="false" outlineLevel="0" max="17" min="17" style="0" width="3"/>
    <col collapsed="false" customWidth="true" hidden="false" outlineLevel="0" max="20" min="18" style="0" width="7.66"/>
    <col collapsed="false" customWidth="true" hidden="false" outlineLevel="0" max="21" min="21" style="0" width="3"/>
    <col collapsed="false" customWidth="true" hidden="false" outlineLevel="0" max="24" min="22" style="0" width="7.66"/>
  </cols>
  <sheetData>
    <row r="2" customFormat="false" ht="15.75" hidden="false" customHeight="false" outlineLevel="0" collapsed="false">
      <c r="B2" s="40" t="s">
        <v>126</v>
      </c>
      <c r="C2" s="40"/>
      <c r="D2" s="40"/>
      <c r="F2" s="40" t="s">
        <v>127</v>
      </c>
      <c r="G2" s="40"/>
      <c r="H2" s="40"/>
      <c r="J2" s="40" t="s">
        <v>128</v>
      </c>
      <c r="K2" s="40"/>
      <c r="L2" s="40"/>
      <c r="N2" s="40" t="s">
        <v>129</v>
      </c>
      <c r="O2" s="40"/>
      <c r="P2" s="40"/>
      <c r="R2" s="40" t="s">
        <v>130</v>
      </c>
      <c r="S2" s="40"/>
      <c r="T2" s="40"/>
      <c r="V2" s="40" t="s">
        <v>131</v>
      </c>
      <c r="W2" s="40"/>
      <c r="X2" s="40"/>
    </row>
    <row r="3" customFormat="false" ht="15.75" hidden="false" customHeight="false" outlineLevel="0" collapsed="false">
      <c r="B3" s="26" t="s">
        <v>110</v>
      </c>
      <c r="C3" s="26" t="s">
        <v>111</v>
      </c>
      <c r="D3" s="26" t="s">
        <v>125</v>
      </c>
      <c r="F3" s="26" t="s">
        <v>110</v>
      </c>
      <c r="G3" s="26" t="s">
        <v>111</v>
      </c>
      <c r="H3" s="26" t="s">
        <v>125</v>
      </c>
      <c r="J3" s="26" t="s">
        <v>110</v>
      </c>
      <c r="K3" s="26" t="s">
        <v>111</v>
      </c>
      <c r="L3" s="26" t="s">
        <v>125</v>
      </c>
      <c r="N3" s="26" t="s">
        <v>110</v>
      </c>
      <c r="O3" s="26" t="s">
        <v>111</v>
      </c>
      <c r="P3" s="26" t="s">
        <v>125</v>
      </c>
      <c r="R3" s="26" t="s">
        <v>110</v>
      </c>
      <c r="S3" s="26" t="s">
        <v>111</v>
      </c>
      <c r="T3" s="26" t="s">
        <v>125</v>
      </c>
      <c r="V3" s="26" t="s">
        <v>110</v>
      </c>
      <c r="W3" s="26" t="s">
        <v>111</v>
      </c>
      <c r="X3" s="26" t="s">
        <v>125</v>
      </c>
    </row>
    <row r="4" customFormat="false" ht="15.75" hidden="false" customHeight="false" outlineLevel="0" collapsed="false">
      <c r="B4" s="19"/>
      <c r="C4" s="19"/>
      <c r="D4" s="19"/>
      <c r="F4" s="19"/>
      <c r="G4" s="19"/>
      <c r="H4" s="19"/>
      <c r="J4" s="19"/>
      <c r="K4" s="19"/>
      <c r="L4" s="19"/>
      <c r="N4" s="19"/>
      <c r="O4" s="19"/>
      <c r="P4" s="19"/>
      <c r="R4" s="19"/>
      <c r="S4" s="19"/>
      <c r="T4" s="19"/>
      <c r="V4" s="19"/>
      <c r="W4" s="19"/>
      <c r="X4" s="19"/>
    </row>
    <row r="5" customFormat="false" ht="15.75" hidden="false" customHeight="false" outlineLevel="0" collapsed="false">
      <c r="B5" s="19"/>
      <c r="C5" s="19"/>
      <c r="D5" s="19"/>
      <c r="F5" s="19"/>
      <c r="G5" s="19"/>
      <c r="H5" s="19"/>
      <c r="J5" s="19"/>
      <c r="K5" s="19"/>
      <c r="L5" s="19"/>
      <c r="N5" s="19"/>
      <c r="O5" s="19"/>
      <c r="P5" s="19"/>
      <c r="R5" s="19"/>
      <c r="S5" s="19"/>
      <c r="T5" s="19"/>
      <c r="V5" s="19"/>
      <c r="W5" s="19"/>
      <c r="X5" s="19"/>
    </row>
    <row r="6" customFormat="false" ht="15.75" hidden="false" customHeight="false" outlineLevel="0" collapsed="false">
      <c r="B6" s="19"/>
      <c r="C6" s="19"/>
      <c r="D6" s="19"/>
      <c r="F6" s="19"/>
      <c r="G6" s="19"/>
      <c r="H6" s="19"/>
      <c r="J6" s="19"/>
      <c r="K6" s="19"/>
      <c r="L6" s="19"/>
      <c r="N6" s="19"/>
      <c r="O6" s="19"/>
      <c r="P6" s="19"/>
      <c r="R6" s="19"/>
      <c r="S6" s="19"/>
      <c r="T6" s="19"/>
      <c r="V6" s="19"/>
      <c r="W6" s="19"/>
      <c r="X6" s="19"/>
    </row>
    <row r="7" customFormat="false" ht="15.75" hidden="false" customHeight="false" outlineLevel="0" collapsed="false">
      <c r="B7" s="19"/>
      <c r="C7" s="19"/>
      <c r="D7" s="19"/>
      <c r="F7" s="19"/>
      <c r="G7" s="19"/>
      <c r="H7" s="19"/>
      <c r="J7" s="19"/>
      <c r="K7" s="19"/>
      <c r="L7" s="19"/>
      <c r="N7" s="19"/>
      <c r="O7" s="19"/>
      <c r="P7" s="19"/>
      <c r="R7" s="19"/>
      <c r="S7" s="19"/>
      <c r="T7" s="19"/>
      <c r="V7" s="19"/>
      <c r="W7" s="19"/>
      <c r="X7" s="19"/>
    </row>
    <row r="8" customFormat="false" ht="15.75" hidden="false" customHeight="false" outlineLevel="0" collapsed="false">
      <c r="B8" s="19"/>
      <c r="C8" s="19"/>
      <c r="D8" s="19"/>
      <c r="F8" s="19"/>
      <c r="G8" s="19"/>
      <c r="H8" s="19"/>
      <c r="J8" s="19"/>
      <c r="K8" s="19"/>
      <c r="L8" s="19"/>
      <c r="N8" s="19"/>
      <c r="O8" s="19"/>
      <c r="P8" s="19"/>
      <c r="R8" s="19"/>
      <c r="S8" s="19"/>
      <c r="T8" s="19"/>
      <c r="V8" s="19"/>
      <c r="W8" s="19"/>
      <c r="X8" s="19"/>
    </row>
    <row r="9" customFormat="false" ht="15.75" hidden="false" customHeight="false" outlineLevel="0" collapsed="false">
      <c r="B9" s="19"/>
      <c r="C9" s="19"/>
      <c r="D9" s="19"/>
      <c r="F9" s="19"/>
      <c r="G9" s="19"/>
      <c r="H9" s="19"/>
      <c r="J9" s="19"/>
      <c r="K9" s="19"/>
      <c r="L9" s="19"/>
      <c r="N9" s="19"/>
      <c r="O9" s="19"/>
      <c r="P9" s="19"/>
      <c r="R9" s="19"/>
      <c r="S9" s="19"/>
      <c r="T9" s="19"/>
      <c r="V9" s="19"/>
      <c r="W9" s="19"/>
      <c r="X9" s="19"/>
    </row>
    <row r="10" customFormat="false" ht="15.75" hidden="false" customHeight="false" outlineLevel="0" collapsed="false">
      <c r="B10" s="19"/>
      <c r="C10" s="19"/>
      <c r="D10" s="19"/>
      <c r="F10" s="19"/>
      <c r="G10" s="19"/>
      <c r="H10" s="19"/>
      <c r="J10" s="19"/>
      <c r="K10" s="19"/>
      <c r="L10" s="19"/>
      <c r="N10" s="19"/>
      <c r="O10" s="19"/>
      <c r="P10" s="19"/>
      <c r="R10" s="19"/>
      <c r="S10" s="19"/>
      <c r="T10" s="19"/>
      <c r="V10" s="19"/>
      <c r="W10" s="19"/>
      <c r="X10" s="19"/>
    </row>
    <row r="11" customFormat="false" ht="15.75" hidden="false" customHeight="false" outlineLevel="0" collapsed="false">
      <c r="B11" s="19"/>
      <c r="C11" s="19"/>
      <c r="D11" s="19"/>
      <c r="F11" s="19"/>
      <c r="G11" s="19"/>
      <c r="H11" s="19"/>
      <c r="J11" s="19"/>
      <c r="K11" s="19"/>
      <c r="L11" s="19"/>
      <c r="N11" s="19"/>
      <c r="O11" s="19"/>
      <c r="P11" s="19"/>
      <c r="R11" s="19"/>
      <c r="S11" s="19"/>
      <c r="T11" s="19"/>
      <c r="V11" s="19"/>
      <c r="W11" s="19"/>
      <c r="X11" s="19"/>
    </row>
    <row r="12" customFormat="false" ht="15.75" hidden="false" customHeight="false" outlineLevel="0" collapsed="false">
      <c r="B12" s="19"/>
      <c r="C12" s="19"/>
      <c r="D12" s="19"/>
      <c r="F12" s="19"/>
      <c r="G12" s="19"/>
      <c r="H12" s="19"/>
      <c r="J12" s="19"/>
      <c r="K12" s="19"/>
      <c r="L12" s="19"/>
      <c r="N12" s="19"/>
      <c r="O12" s="19"/>
      <c r="P12" s="19"/>
      <c r="R12" s="19"/>
      <c r="S12" s="19"/>
      <c r="T12" s="19"/>
      <c r="V12" s="19"/>
      <c r="W12" s="19"/>
      <c r="X12" s="19"/>
    </row>
    <row r="13" customFormat="false" ht="15.75" hidden="false" customHeight="false" outlineLevel="0" collapsed="false">
      <c r="B13" s="19"/>
      <c r="C13" s="19"/>
      <c r="D13" s="19"/>
      <c r="F13" s="19"/>
      <c r="G13" s="19"/>
      <c r="H13" s="19"/>
      <c r="J13" s="19"/>
      <c r="K13" s="19"/>
      <c r="L13" s="19"/>
      <c r="N13" s="19"/>
      <c r="O13" s="19"/>
      <c r="P13" s="19"/>
      <c r="R13" s="19"/>
      <c r="S13" s="19"/>
      <c r="T13" s="19"/>
      <c r="V13" s="19"/>
      <c r="W13" s="19"/>
      <c r="X13" s="19"/>
    </row>
    <row r="14" customFormat="false" ht="15.75" hidden="false" customHeight="false" outlineLevel="0" collapsed="false">
      <c r="B14" s="19"/>
      <c r="C14" s="19"/>
      <c r="D14" s="19"/>
      <c r="F14" s="19"/>
      <c r="G14" s="19"/>
      <c r="H14" s="19"/>
      <c r="J14" s="19"/>
      <c r="K14" s="19"/>
      <c r="L14" s="19"/>
      <c r="N14" s="19"/>
      <c r="O14" s="19"/>
      <c r="P14" s="19"/>
      <c r="R14" s="19"/>
      <c r="S14" s="19"/>
      <c r="T14" s="19"/>
      <c r="V14" s="19"/>
      <c r="W14" s="19"/>
      <c r="X14" s="19"/>
    </row>
    <row r="15" customFormat="false" ht="15.75" hidden="false" customHeight="false" outlineLevel="0" collapsed="false">
      <c r="B15" s="19"/>
      <c r="C15" s="19"/>
      <c r="D15" s="19"/>
      <c r="F15" s="19"/>
      <c r="G15" s="19"/>
      <c r="H15" s="19"/>
      <c r="J15" s="19"/>
      <c r="K15" s="19"/>
      <c r="L15" s="19"/>
      <c r="N15" s="19"/>
      <c r="O15" s="19"/>
      <c r="P15" s="19"/>
      <c r="R15" s="19"/>
      <c r="S15" s="19"/>
      <c r="T15" s="19"/>
      <c r="V15" s="19"/>
      <c r="W15" s="19"/>
      <c r="X15" s="19"/>
    </row>
    <row r="16" customFormat="false" ht="15.75" hidden="false" customHeight="false" outlineLevel="0" collapsed="false">
      <c r="B16" s="19"/>
      <c r="C16" s="19"/>
      <c r="D16" s="19"/>
      <c r="F16" s="19"/>
      <c r="G16" s="19"/>
      <c r="H16" s="19"/>
      <c r="J16" s="19"/>
      <c r="K16" s="19"/>
      <c r="L16" s="19"/>
      <c r="N16" s="19"/>
      <c r="O16" s="19"/>
      <c r="P16" s="19"/>
      <c r="R16" s="19"/>
      <c r="S16" s="19"/>
      <c r="T16" s="19"/>
      <c r="V16" s="19"/>
      <c r="W16" s="19"/>
      <c r="X16" s="19"/>
    </row>
    <row r="17" customFormat="false" ht="15.75" hidden="false" customHeight="false" outlineLevel="0" collapsed="false">
      <c r="B17" s="19"/>
      <c r="C17" s="19"/>
      <c r="D17" s="19"/>
      <c r="F17" s="19"/>
      <c r="G17" s="19"/>
      <c r="H17" s="19"/>
      <c r="J17" s="19"/>
      <c r="K17" s="19"/>
      <c r="L17" s="19"/>
      <c r="N17" s="19"/>
      <c r="O17" s="19"/>
      <c r="P17" s="19"/>
      <c r="R17" s="19"/>
      <c r="S17" s="19"/>
      <c r="T17" s="19"/>
      <c r="V17" s="19"/>
      <c r="W17" s="19"/>
      <c r="X17" s="19"/>
    </row>
    <row r="18" customFormat="false" ht="15.75" hidden="false" customHeight="false" outlineLevel="0" collapsed="false">
      <c r="B18" s="19"/>
      <c r="C18" s="19"/>
      <c r="D18" s="19"/>
      <c r="F18" s="19"/>
      <c r="G18" s="19"/>
      <c r="H18" s="19"/>
      <c r="J18" s="19"/>
      <c r="K18" s="19"/>
      <c r="L18" s="19"/>
      <c r="N18" s="19"/>
      <c r="O18" s="19"/>
      <c r="P18" s="19"/>
      <c r="R18" s="19"/>
      <c r="S18" s="19"/>
      <c r="T18" s="19"/>
      <c r="V18" s="19"/>
      <c r="W18" s="19"/>
      <c r="X18" s="19"/>
    </row>
    <row r="19" customFormat="false" ht="15.75" hidden="false" customHeight="false" outlineLevel="0" collapsed="false">
      <c r="B19" s="19"/>
      <c r="C19" s="19"/>
      <c r="D19" s="19"/>
      <c r="F19" s="19"/>
      <c r="G19" s="19"/>
      <c r="H19" s="19"/>
      <c r="J19" s="19"/>
      <c r="K19" s="19"/>
      <c r="L19" s="19"/>
      <c r="N19" s="19"/>
      <c r="O19" s="19"/>
      <c r="P19" s="19"/>
      <c r="R19" s="19"/>
      <c r="S19" s="19"/>
      <c r="T19" s="19"/>
      <c r="V19" s="19"/>
      <c r="W19" s="19"/>
      <c r="X19" s="19"/>
    </row>
    <row r="20" customFormat="false" ht="15.75" hidden="false" customHeight="false" outlineLevel="0" collapsed="false">
      <c r="B20" s="19"/>
      <c r="C20" s="19"/>
      <c r="D20" s="19"/>
      <c r="F20" s="19"/>
      <c r="G20" s="19"/>
      <c r="H20" s="19"/>
      <c r="J20" s="19"/>
      <c r="K20" s="19"/>
      <c r="L20" s="19"/>
      <c r="N20" s="19"/>
      <c r="O20" s="19"/>
      <c r="P20" s="19"/>
      <c r="R20" s="19"/>
      <c r="S20" s="19"/>
      <c r="T20" s="19"/>
      <c r="V20" s="19"/>
      <c r="W20" s="19"/>
      <c r="X20" s="19"/>
    </row>
    <row r="21" customFormat="false" ht="15.75" hidden="false" customHeight="false" outlineLevel="0" collapsed="false">
      <c r="B21" s="19"/>
      <c r="C21" s="19"/>
      <c r="D21" s="19"/>
      <c r="F21" s="19"/>
      <c r="G21" s="19"/>
      <c r="H21" s="19"/>
      <c r="J21" s="19"/>
      <c r="K21" s="19"/>
      <c r="L21" s="19"/>
      <c r="N21" s="19"/>
      <c r="O21" s="19"/>
      <c r="P21" s="19"/>
      <c r="R21" s="19"/>
      <c r="S21" s="19"/>
      <c r="T21" s="19"/>
      <c r="V21" s="19"/>
      <c r="W21" s="19"/>
      <c r="X21" s="19"/>
    </row>
    <row r="22" customFormat="false" ht="15.75" hidden="false" customHeight="false" outlineLevel="0" collapsed="false">
      <c r="B22" s="19"/>
      <c r="C22" s="19"/>
      <c r="D22" s="19"/>
      <c r="F22" s="19"/>
      <c r="G22" s="19"/>
      <c r="H22" s="19"/>
      <c r="J22" s="19"/>
      <c r="K22" s="19"/>
      <c r="L22" s="19"/>
      <c r="N22" s="19"/>
      <c r="O22" s="19"/>
      <c r="P22" s="19"/>
      <c r="R22" s="19"/>
      <c r="S22" s="19"/>
      <c r="T22" s="19"/>
      <c r="V22" s="19"/>
      <c r="W22" s="19"/>
      <c r="X22" s="19"/>
    </row>
  </sheetData>
  <mergeCells count="6">
    <mergeCell ref="B2:D2"/>
    <mergeCell ref="F2:H2"/>
    <mergeCell ref="J2:L2"/>
    <mergeCell ref="N2:P2"/>
    <mergeCell ref="R2:T2"/>
    <mergeCell ref="V2:X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25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L25" activeCellId="0" sqref="L25"/>
    </sheetView>
  </sheetViews>
  <sheetFormatPr defaultColWidth="10.59765625" defaultRowHeight="15.75" zeroHeight="false" outlineLevelRow="0" outlineLevelCol="0"/>
  <cols>
    <col collapsed="false" customWidth="true" hidden="false" outlineLevel="0" max="1" min="1" style="1" width="4.84"/>
    <col collapsed="false" customWidth="true" hidden="false" outlineLevel="0" max="11" min="2" style="1" width="10.83"/>
  </cols>
  <sheetData>
    <row r="2" customFormat="false" ht="15.75" hidden="false" customHeight="false" outlineLevel="0" collapsed="false">
      <c r="A2" s="38" t="s">
        <v>96</v>
      </c>
      <c r="B2" s="38" t="s">
        <v>132</v>
      </c>
      <c r="C2" s="38" t="s">
        <v>133</v>
      </c>
      <c r="D2" s="38" t="s">
        <v>134</v>
      </c>
      <c r="E2" s="38" t="s">
        <v>135</v>
      </c>
      <c r="F2" s="41" t="s">
        <v>136</v>
      </c>
      <c r="G2" s="42" t="s">
        <v>137</v>
      </c>
      <c r="H2" s="41" t="s">
        <v>138</v>
      </c>
      <c r="I2" s="41" t="s">
        <v>139</v>
      </c>
      <c r="J2" s="42" t="s">
        <v>68</v>
      </c>
      <c r="K2" s="42" t="s">
        <v>140</v>
      </c>
    </row>
    <row r="3" customFormat="false" ht="15.75" hidden="false" customHeight="false" outlineLevel="0" collapsed="false">
      <c r="A3" s="19" t="n">
        <v>1</v>
      </c>
      <c r="B3" s="19"/>
      <c r="C3" s="19"/>
      <c r="D3" s="19"/>
      <c r="E3" s="19"/>
      <c r="F3" s="19"/>
      <c r="G3" s="19"/>
      <c r="H3" s="19"/>
      <c r="I3" s="19"/>
      <c r="J3" s="19"/>
      <c r="K3" s="19"/>
    </row>
    <row r="4" customFormat="false" ht="15.75" hidden="false" customHeight="false" outlineLevel="0" collapsed="false">
      <c r="A4" s="19" t="n">
        <v>2</v>
      </c>
      <c r="B4" s="19"/>
      <c r="C4" s="19"/>
      <c r="D4" s="19"/>
      <c r="E4" s="19"/>
      <c r="F4" s="19"/>
      <c r="G4" s="19"/>
      <c r="H4" s="19"/>
      <c r="I4" s="19"/>
      <c r="J4" s="19"/>
      <c r="K4" s="19"/>
    </row>
    <row r="5" customFormat="false" ht="15.75" hidden="false" customHeight="false" outlineLevel="0" collapsed="false">
      <c r="A5" s="19" t="n">
        <v>3</v>
      </c>
      <c r="B5" s="19"/>
      <c r="C5" s="19"/>
      <c r="D5" s="19"/>
      <c r="E5" s="19"/>
      <c r="F5" s="19"/>
      <c r="G5" s="19"/>
      <c r="H5" s="19"/>
      <c r="I5" s="19"/>
      <c r="J5" s="19"/>
      <c r="K5" s="19"/>
    </row>
    <row r="6" customFormat="false" ht="15.75" hidden="false" customHeight="false" outlineLevel="0" collapsed="false">
      <c r="A6" s="19" t="n">
        <v>4</v>
      </c>
      <c r="B6" s="19"/>
      <c r="C6" s="19"/>
      <c r="D6" s="19"/>
      <c r="E6" s="19"/>
      <c r="F6" s="19"/>
      <c r="G6" s="19"/>
      <c r="H6" s="19"/>
      <c r="I6" s="19"/>
      <c r="J6" s="19"/>
      <c r="K6" s="19"/>
    </row>
    <row r="7" customFormat="false" ht="15.75" hidden="false" customHeight="false" outlineLevel="0" collapsed="false">
      <c r="A7" s="19" t="n">
        <v>5</v>
      </c>
      <c r="B7" s="19"/>
      <c r="C7" s="19"/>
      <c r="D7" s="19"/>
      <c r="E7" s="19"/>
      <c r="F7" s="19"/>
      <c r="G7" s="19"/>
      <c r="H7" s="19"/>
      <c r="I7" s="19"/>
      <c r="J7" s="19"/>
      <c r="K7" s="19"/>
    </row>
    <row r="8" customFormat="false" ht="15.75" hidden="false" customHeight="false" outlineLevel="0" collapsed="false">
      <c r="A8" s="19" t="n">
        <v>6</v>
      </c>
      <c r="B8" s="19"/>
      <c r="C8" s="19"/>
      <c r="D8" s="19"/>
      <c r="E8" s="19"/>
      <c r="F8" s="19"/>
      <c r="G8" s="19"/>
      <c r="H8" s="19"/>
      <c r="I8" s="19"/>
      <c r="J8" s="19"/>
      <c r="K8" s="19"/>
    </row>
    <row r="9" customFormat="false" ht="15.75" hidden="false" customHeight="false" outlineLevel="0" collapsed="false">
      <c r="A9" s="19" t="n">
        <v>7</v>
      </c>
      <c r="B9" s="19"/>
      <c r="C9" s="19"/>
      <c r="D9" s="19"/>
      <c r="E9" s="19"/>
      <c r="F9" s="19"/>
      <c r="G9" s="19"/>
      <c r="H9" s="19"/>
      <c r="I9" s="19"/>
      <c r="J9" s="19"/>
      <c r="K9" s="19"/>
    </row>
    <row r="10" customFormat="false" ht="15.75" hidden="false" customHeight="false" outlineLevel="0" collapsed="false">
      <c r="A10" s="19" t="n">
        <v>8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</row>
    <row r="11" customFormat="false" ht="15.75" hidden="false" customHeight="false" outlineLevel="0" collapsed="false">
      <c r="A11" s="19" t="n">
        <v>9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</row>
    <row r="12" customFormat="false" ht="15.75" hidden="false" customHeight="false" outlineLevel="0" collapsed="false">
      <c r="A12" s="19" t="n">
        <v>10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</row>
    <row r="13" customFormat="false" ht="15.75" hidden="false" customHeight="false" outlineLevel="0" collapsed="false">
      <c r="A13" s="19" t="n">
        <v>11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</row>
    <row r="14" customFormat="false" ht="15.75" hidden="false" customHeight="false" outlineLevel="0" collapsed="false">
      <c r="A14" s="19" t="n">
        <v>12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</row>
    <row r="15" customFormat="false" ht="15.75" hidden="false" customHeight="false" outlineLevel="0" collapsed="false">
      <c r="A15" s="19" t="n">
        <v>13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</row>
    <row r="16" customFormat="false" ht="15.75" hidden="false" customHeight="false" outlineLevel="0" collapsed="false">
      <c r="A16" s="19" t="n">
        <v>14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</row>
    <row r="17" customFormat="false" ht="15.75" hidden="false" customHeight="false" outlineLevel="0" collapsed="false">
      <c r="A17" s="19" t="n">
        <v>15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</row>
    <row r="18" customFormat="false" ht="15.75" hidden="false" customHeight="false" outlineLevel="0" collapsed="false">
      <c r="A18" s="19" t="n">
        <v>16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</row>
    <row r="19" customFormat="false" ht="15.75" hidden="false" customHeight="false" outlineLevel="0" collapsed="false">
      <c r="A19" s="19" t="n">
        <v>17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M19" s="43"/>
      <c r="N19" s="8" t="s">
        <v>141</v>
      </c>
    </row>
    <row r="20" customFormat="false" ht="15.75" hidden="false" customHeight="false" outlineLevel="0" collapsed="false">
      <c r="A20" s="19" t="n">
        <v>18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M20" s="44"/>
      <c r="N20" s="8" t="s">
        <v>142</v>
      </c>
    </row>
    <row r="21" customFormat="false" ht="15.75" hidden="false" customHeight="false" outlineLevel="0" collapsed="false">
      <c r="A21" s="19" t="n">
        <v>19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</row>
    <row r="22" customFormat="false" ht="15.75" hidden="false" customHeight="false" outlineLevel="0" collapsed="false">
      <c r="A22" s="19" t="n">
        <v>20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</row>
    <row r="24" customFormat="false" ht="15.75" hidden="false" customHeight="false" outlineLevel="0" collapsed="false">
      <c r="H24" s="8"/>
      <c r="I24" s="8"/>
    </row>
    <row r="25" customFormat="false" ht="15.75" hidden="false" customHeight="false" outlineLevel="0" collapsed="false">
      <c r="H25" s="8"/>
      <c r="I25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24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4" activeCellId="0" sqref="C14"/>
    </sheetView>
  </sheetViews>
  <sheetFormatPr defaultColWidth="10.59765625" defaultRowHeight="15.75" zeroHeight="false" outlineLevelRow="0" outlineLevelCol="0"/>
  <cols>
    <col collapsed="false" customWidth="true" hidden="false" outlineLevel="0" max="1" min="1" style="0" width="3"/>
    <col collapsed="false" customWidth="true" hidden="false" outlineLevel="0" max="4" min="4" style="0" width="3"/>
    <col collapsed="false" customWidth="true" hidden="false" outlineLevel="0" max="7" min="7" style="0" width="4"/>
    <col collapsed="false" customWidth="true" hidden="false" outlineLevel="0" max="10" min="10" style="0" width="4.33"/>
    <col collapsed="false" customWidth="true" hidden="false" outlineLevel="0" max="13" min="13" style="0" width="3"/>
    <col collapsed="false" customWidth="true" hidden="false" outlineLevel="0" max="16" min="16" style="0" width="4"/>
  </cols>
  <sheetData>
    <row r="2" customFormat="false" ht="15.75" hidden="false" customHeight="false" outlineLevel="0" collapsed="false">
      <c r="B2" s="45" t="s">
        <v>143</v>
      </c>
      <c r="C2" s="45"/>
      <c r="E2" s="31" t="s">
        <v>144</v>
      </c>
      <c r="F2" s="31"/>
      <c r="H2" s="31" t="s">
        <v>145</v>
      </c>
      <c r="I2" s="31"/>
      <c r="K2" s="31" t="s">
        <v>146</v>
      </c>
      <c r="L2" s="31"/>
      <c r="N2" s="31" t="s">
        <v>147</v>
      </c>
      <c r="O2" s="31"/>
      <c r="Q2" s="31" t="s">
        <v>148</v>
      </c>
      <c r="R2" s="31"/>
    </row>
    <row r="3" customFormat="false" ht="15.75" hidden="false" customHeight="false" outlineLevel="0" collapsed="false">
      <c r="B3" s="45"/>
      <c r="C3" s="45"/>
      <c r="E3" s="46" t="s">
        <v>149</v>
      </c>
      <c r="F3" s="47" t="n">
        <v>160</v>
      </c>
      <c r="H3" s="46" t="s">
        <v>149</v>
      </c>
      <c r="I3" s="47" t="n">
        <v>100</v>
      </c>
      <c r="K3" s="46" t="s">
        <v>149</v>
      </c>
      <c r="L3" s="47"/>
      <c r="N3" s="46" t="s">
        <v>149</v>
      </c>
      <c r="O3" s="47"/>
      <c r="Q3" s="46" t="s">
        <v>149</v>
      </c>
      <c r="R3" s="47"/>
    </row>
    <row r="4" customFormat="false" ht="15.75" hidden="false" customHeight="false" outlineLevel="0" collapsed="false">
      <c r="B4" s="48" t="s">
        <v>91</v>
      </c>
      <c r="C4" s="48" t="s">
        <v>92</v>
      </c>
      <c r="E4" s="48" t="s">
        <v>91</v>
      </c>
      <c r="F4" s="48" t="s">
        <v>92</v>
      </c>
      <c r="H4" s="48" t="s">
        <v>91</v>
      </c>
      <c r="I4" s="48" t="s">
        <v>92</v>
      </c>
      <c r="K4" s="48" t="s">
        <v>91</v>
      </c>
      <c r="L4" s="48" t="s">
        <v>92</v>
      </c>
      <c r="N4" s="48" t="s">
        <v>91</v>
      </c>
      <c r="O4" s="48" t="s">
        <v>92</v>
      </c>
      <c r="Q4" s="48" t="s">
        <v>91</v>
      </c>
      <c r="R4" s="48" t="s">
        <v>92</v>
      </c>
    </row>
    <row r="5" customFormat="false" ht="15.75" hidden="false" customHeight="false" outlineLevel="0" collapsed="false">
      <c r="B5" s="19" t="n">
        <v>380</v>
      </c>
      <c r="C5" s="19" t="n">
        <v>180</v>
      </c>
      <c r="E5" s="19" t="n">
        <v>0</v>
      </c>
      <c r="F5" s="19" t="n">
        <v>100</v>
      </c>
      <c r="H5" s="19" t="n">
        <v>550</v>
      </c>
      <c r="I5" s="19" t="n">
        <v>100</v>
      </c>
      <c r="K5" s="19"/>
      <c r="L5" s="19"/>
      <c r="N5" s="19"/>
      <c r="O5" s="19"/>
      <c r="Q5" s="19"/>
      <c r="R5" s="19"/>
    </row>
    <row r="6" customFormat="false" ht="15.75" hidden="false" customHeight="false" outlineLevel="0" collapsed="false">
      <c r="B6" s="19" t="n">
        <v>550</v>
      </c>
      <c r="C6" s="19" t="n">
        <v>100</v>
      </c>
      <c r="E6" s="19" t="n">
        <v>200</v>
      </c>
      <c r="F6" s="19" t="n">
        <v>100</v>
      </c>
      <c r="H6" s="19" t="n">
        <v>750</v>
      </c>
      <c r="I6" s="19" t="n">
        <v>100</v>
      </c>
      <c r="K6" s="19"/>
      <c r="L6" s="19"/>
      <c r="N6" s="19"/>
      <c r="O6" s="19"/>
      <c r="Q6" s="19"/>
      <c r="R6" s="19"/>
    </row>
    <row r="7" customFormat="false" ht="15.75" hidden="false" customHeight="false" outlineLevel="0" collapsed="false">
      <c r="B7" s="19"/>
      <c r="C7" s="19"/>
      <c r="E7" s="19" t="n">
        <v>320</v>
      </c>
      <c r="F7" s="19" t="n">
        <v>160</v>
      </c>
      <c r="H7" s="19"/>
      <c r="I7" s="19"/>
      <c r="K7" s="19"/>
      <c r="L7" s="19"/>
      <c r="N7" s="19"/>
      <c r="O7" s="19"/>
      <c r="Q7" s="19"/>
      <c r="R7" s="19"/>
    </row>
    <row r="8" customFormat="false" ht="15.75" hidden="false" customHeight="false" outlineLevel="0" collapsed="false">
      <c r="B8" s="19"/>
      <c r="C8" s="19"/>
      <c r="E8" s="19"/>
      <c r="F8" s="19"/>
      <c r="H8" s="19"/>
      <c r="I8" s="19"/>
      <c r="K8" s="19"/>
      <c r="L8" s="19"/>
      <c r="N8" s="19"/>
      <c r="O8" s="19"/>
      <c r="Q8" s="19"/>
      <c r="R8" s="19"/>
    </row>
    <row r="9" customFormat="false" ht="15.75" hidden="false" customHeight="false" outlineLevel="0" collapsed="false">
      <c r="B9" s="19"/>
      <c r="C9" s="19"/>
      <c r="E9" s="19"/>
      <c r="F9" s="19"/>
      <c r="H9" s="19"/>
      <c r="I9" s="19"/>
      <c r="K9" s="19"/>
      <c r="L9" s="19"/>
      <c r="N9" s="19"/>
      <c r="O9" s="19"/>
      <c r="Q9" s="19"/>
      <c r="R9" s="19"/>
    </row>
    <row r="10" customFormat="false" ht="15.75" hidden="false" customHeight="false" outlineLevel="0" collapsed="false">
      <c r="B10" s="19"/>
      <c r="C10" s="19"/>
      <c r="E10" s="19"/>
      <c r="F10" s="19"/>
      <c r="H10" s="19"/>
      <c r="I10" s="19"/>
      <c r="K10" s="19"/>
      <c r="L10" s="19"/>
      <c r="N10" s="19"/>
      <c r="O10" s="19"/>
      <c r="Q10" s="19"/>
      <c r="R10" s="19"/>
    </row>
    <row r="11" customFormat="false" ht="15.75" hidden="false" customHeight="false" outlineLevel="0" collapsed="false">
      <c r="B11" s="19"/>
      <c r="C11" s="19"/>
      <c r="E11" s="19"/>
      <c r="F11" s="19"/>
      <c r="H11" s="19"/>
      <c r="I11" s="19"/>
      <c r="K11" s="19"/>
      <c r="L11" s="19"/>
      <c r="N11" s="19"/>
      <c r="O11" s="19"/>
      <c r="Q11" s="19"/>
      <c r="R11" s="19"/>
    </row>
    <row r="12" customFormat="false" ht="15.75" hidden="false" customHeight="false" outlineLevel="0" collapsed="false">
      <c r="B12" s="19"/>
      <c r="C12" s="19"/>
      <c r="E12" s="19"/>
      <c r="F12" s="19"/>
      <c r="H12" s="19"/>
      <c r="I12" s="19"/>
      <c r="K12" s="19"/>
      <c r="L12" s="19"/>
      <c r="N12" s="19"/>
      <c r="O12" s="19"/>
      <c r="Q12" s="19"/>
      <c r="R12" s="19"/>
    </row>
    <row r="13" customFormat="false" ht="15.75" hidden="false" customHeight="false" outlineLevel="0" collapsed="false">
      <c r="B13" s="19"/>
      <c r="C13" s="19"/>
      <c r="E13" s="19"/>
      <c r="F13" s="19"/>
      <c r="H13" s="19"/>
      <c r="I13" s="19"/>
      <c r="K13" s="19"/>
      <c r="L13" s="19"/>
      <c r="N13" s="19"/>
      <c r="O13" s="19"/>
      <c r="Q13" s="19"/>
      <c r="R13" s="19"/>
    </row>
    <row r="14" customFormat="false" ht="15.75" hidden="false" customHeight="false" outlineLevel="0" collapsed="false">
      <c r="B14" s="19"/>
      <c r="C14" s="19"/>
      <c r="E14" s="19"/>
      <c r="F14" s="19"/>
      <c r="H14" s="19"/>
      <c r="I14" s="19"/>
      <c r="K14" s="19"/>
      <c r="L14" s="19"/>
      <c r="N14" s="19"/>
      <c r="O14" s="19"/>
      <c r="Q14" s="19"/>
      <c r="R14" s="19"/>
    </row>
    <row r="15" customFormat="false" ht="15.75" hidden="false" customHeight="false" outlineLevel="0" collapsed="false">
      <c r="B15" s="19"/>
      <c r="C15" s="19"/>
      <c r="E15" s="19"/>
      <c r="F15" s="19"/>
      <c r="H15" s="19"/>
      <c r="I15" s="19"/>
      <c r="K15" s="19"/>
      <c r="L15" s="19"/>
      <c r="N15" s="19"/>
      <c r="O15" s="19"/>
      <c r="Q15" s="19"/>
      <c r="R15" s="19"/>
    </row>
    <row r="16" customFormat="false" ht="15.75" hidden="false" customHeight="false" outlineLevel="0" collapsed="false">
      <c r="B16" s="19"/>
      <c r="C16" s="19"/>
      <c r="E16" s="19"/>
      <c r="F16" s="19"/>
      <c r="H16" s="19"/>
      <c r="I16" s="19"/>
      <c r="K16" s="19"/>
      <c r="L16" s="19"/>
      <c r="N16" s="19"/>
      <c r="O16" s="19"/>
      <c r="Q16" s="19"/>
      <c r="R16" s="19"/>
    </row>
    <row r="17" customFormat="false" ht="15.75" hidden="false" customHeight="false" outlineLevel="0" collapsed="false">
      <c r="B17" s="19"/>
      <c r="C17" s="19"/>
      <c r="E17" s="19"/>
      <c r="F17" s="19"/>
      <c r="H17" s="19"/>
      <c r="I17" s="19"/>
      <c r="K17" s="19"/>
      <c r="L17" s="19"/>
      <c r="N17" s="19"/>
      <c r="O17" s="19"/>
      <c r="Q17" s="19"/>
      <c r="R17" s="19"/>
    </row>
    <row r="18" customFormat="false" ht="15.75" hidden="false" customHeight="false" outlineLevel="0" collapsed="false">
      <c r="B18" s="19"/>
      <c r="C18" s="19"/>
      <c r="E18" s="19"/>
      <c r="F18" s="19"/>
      <c r="H18" s="19"/>
      <c r="I18" s="19"/>
      <c r="K18" s="19"/>
      <c r="L18" s="19"/>
      <c r="N18" s="19"/>
      <c r="O18" s="19"/>
      <c r="Q18" s="19"/>
      <c r="R18" s="19"/>
    </row>
    <row r="19" customFormat="false" ht="15.75" hidden="false" customHeight="false" outlineLevel="0" collapsed="false">
      <c r="B19" s="19"/>
      <c r="C19" s="19"/>
      <c r="E19" s="19"/>
      <c r="F19" s="19"/>
      <c r="H19" s="19"/>
      <c r="I19" s="19"/>
      <c r="K19" s="19"/>
      <c r="L19" s="19"/>
      <c r="N19" s="19"/>
      <c r="O19" s="19"/>
      <c r="Q19" s="19"/>
      <c r="R19" s="19"/>
    </row>
    <row r="20" customFormat="false" ht="15.75" hidden="false" customHeight="false" outlineLevel="0" collapsed="false">
      <c r="B20" s="19"/>
      <c r="C20" s="19"/>
      <c r="E20" s="19"/>
      <c r="F20" s="19"/>
      <c r="H20" s="19"/>
      <c r="I20" s="19"/>
      <c r="K20" s="19"/>
      <c r="L20" s="19"/>
      <c r="N20" s="19"/>
      <c r="O20" s="19"/>
      <c r="Q20" s="19"/>
      <c r="R20" s="19"/>
    </row>
    <row r="21" customFormat="false" ht="15.75" hidden="false" customHeight="false" outlineLevel="0" collapsed="false">
      <c r="B21" s="19"/>
      <c r="C21" s="19"/>
      <c r="E21" s="19"/>
      <c r="F21" s="19"/>
      <c r="H21" s="19"/>
      <c r="I21" s="19"/>
      <c r="K21" s="19"/>
      <c r="L21" s="19"/>
      <c r="N21" s="19"/>
      <c r="O21" s="19"/>
      <c r="Q21" s="19"/>
      <c r="R21" s="19"/>
    </row>
    <row r="22" customFormat="false" ht="15.75" hidden="false" customHeight="false" outlineLevel="0" collapsed="false">
      <c r="B22" s="19"/>
      <c r="C22" s="19"/>
      <c r="E22" s="19"/>
      <c r="F22" s="19"/>
      <c r="H22" s="19"/>
      <c r="I22" s="19"/>
      <c r="K22" s="19"/>
      <c r="L22" s="19"/>
      <c r="N22" s="19"/>
      <c r="O22" s="19"/>
      <c r="Q22" s="19"/>
      <c r="R22" s="19"/>
    </row>
    <row r="23" customFormat="false" ht="15.75" hidden="false" customHeight="false" outlineLevel="0" collapsed="false">
      <c r="B23" s="19"/>
      <c r="C23" s="19"/>
      <c r="E23" s="19"/>
      <c r="F23" s="19"/>
      <c r="H23" s="19"/>
      <c r="I23" s="19"/>
      <c r="K23" s="19"/>
      <c r="L23" s="19"/>
      <c r="N23" s="19"/>
      <c r="O23" s="19"/>
      <c r="Q23" s="19"/>
      <c r="R23" s="19"/>
    </row>
    <row r="24" customFormat="false" ht="15.75" hidden="false" customHeight="false" outlineLevel="0" collapsed="false">
      <c r="B24" s="19"/>
      <c r="C24" s="19"/>
      <c r="E24" s="19"/>
      <c r="F24" s="19"/>
      <c r="H24" s="19"/>
      <c r="I24" s="19"/>
      <c r="K24" s="19"/>
      <c r="L24" s="19"/>
      <c r="N24" s="19"/>
      <c r="O24" s="19"/>
      <c r="Q24" s="19"/>
      <c r="R24" s="19"/>
    </row>
  </sheetData>
  <mergeCells count="6">
    <mergeCell ref="B2:C3"/>
    <mergeCell ref="E2:F2"/>
    <mergeCell ref="H2:I2"/>
    <mergeCell ref="K2:L2"/>
    <mergeCell ref="N2:O2"/>
    <mergeCell ref="Q2:R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24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F6" activeCellId="0" sqref="F6"/>
    </sheetView>
  </sheetViews>
  <sheetFormatPr defaultColWidth="10.59765625" defaultRowHeight="15.75" zeroHeight="false" outlineLevelRow="0" outlineLevelCol="0"/>
  <cols>
    <col collapsed="false" customWidth="true" hidden="false" outlineLevel="0" max="1" min="1" style="0" width="3"/>
    <col collapsed="false" customWidth="true" hidden="false" outlineLevel="0" max="4" min="4" style="0" width="3"/>
    <col collapsed="false" customWidth="true" hidden="false" outlineLevel="0" max="7" min="7" style="0" width="4"/>
    <col collapsed="false" customWidth="true" hidden="false" outlineLevel="0" max="10" min="10" style="0" width="4.33"/>
    <col collapsed="false" customWidth="true" hidden="false" outlineLevel="0" max="13" min="13" style="0" width="3"/>
    <col collapsed="false" customWidth="true" hidden="false" outlineLevel="0" max="16" min="16" style="0" width="4"/>
  </cols>
  <sheetData>
    <row r="2" customFormat="false" ht="15.75" hidden="false" customHeight="false" outlineLevel="0" collapsed="false">
      <c r="B2" s="49" t="s">
        <v>150</v>
      </c>
      <c r="C2" s="49"/>
      <c r="E2" s="32" t="s">
        <v>151</v>
      </c>
      <c r="F2" s="32"/>
      <c r="H2" s="32" t="s">
        <v>152</v>
      </c>
      <c r="I2" s="32"/>
      <c r="K2" s="32" t="s">
        <v>153</v>
      </c>
      <c r="L2" s="32"/>
      <c r="N2" s="32" t="s">
        <v>154</v>
      </c>
      <c r="O2" s="32"/>
      <c r="Q2" s="32" t="s">
        <v>155</v>
      </c>
      <c r="R2" s="32"/>
    </row>
    <row r="3" customFormat="false" ht="15.75" hidden="false" customHeight="false" outlineLevel="0" collapsed="false">
      <c r="B3" s="49"/>
      <c r="C3" s="49"/>
      <c r="E3" s="50" t="s">
        <v>149</v>
      </c>
      <c r="F3" s="51"/>
      <c r="H3" s="50" t="s">
        <v>149</v>
      </c>
      <c r="I3" s="51"/>
      <c r="K3" s="50" t="s">
        <v>149</v>
      </c>
      <c r="L3" s="51"/>
      <c r="N3" s="50" t="s">
        <v>149</v>
      </c>
      <c r="O3" s="51"/>
      <c r="Q3" s="50" t="s">
        <v>149</v>
      </c>
      <c r="R3" s="51"/>
    </row>
    <row r="4" customFormat="false" ht="15.75" hidden="false" customHeight="false" outlineLevel="0" collapsed="false">
      <c r="B4" s="48" t="s">
        <v>91</v>
      </c>
      <c r="C4" s="48" t="s">
        <v>92</v>
      </c>
      <c r="E4" s="48" t="s">
        <v>91</v>
      </c>
      <c r="F4" s="48" t="s">
        <v>92</v>
      </c>
      <c r="H4" s="48" t="s">
        <v>91</v>
      </c>
      <c r="I4" s="48" t="s">
        <v>92</v>
      </c>
      <c r="K4" s="48" t="s">
        <v>91</v>
      </c>
      <c r="L4" s="48" t="s">
        <v>92</v>
      </c>
      <c r="N4" s="48" t="s">
        <v>91</v>
      </c>
      <c r="O4" s="48" t="s">
        <v>92</v>
      </c>
      <c r="Q4" s="48" t="s">
        <v>91</v>
      </c>
      <c r="R4" s="48" t="s">
        <v>92</v>
      </c>
    </row>
    <row r="5" customFormat="false" ht="15.75" hidden="false" customHeight="false" outlineLevel="0" collapsed="false">
      <c r="B5" s="19"/>
      <c r="C5" s="19"/>
      <c r="E5" s="19"/>
      <c r="F5" s="19"/>
      <c r="H5" s="19"/>
      <c r="I5" s="19"/>
      <c r="K5" s="19"/>
      <c r="L5" s="19"/>
      <c r="N5" s="19"/>
      <c r="O5" s="19"/>
      <c r="Q5" s="19"/>
      <c r="R5" s="19"/>
    </row>
    <row r="6" customFormat="false" ht="15.75" hidden="false" customHeight="false" outlineLevel="0" collapsed="false">
      <c r="B6" s="19"/>
      <c r="C6" s="19"/>
      <c r="E6" s="19"/>
      <c r="F6" s="19"/>
      <c r="H6" s="19"/>
      <c r="I6" s="19"/>
      <c r="K6" s="19"/>
      <c r="L6" s="19"/>
      <c r="N6" s="19"/>
      <c r="O6" s="19"/>
      <c r="Q6" s="19"/>
      <c r="R6" s="19"/>
    </row>
    <row r="7" customFormat="false" ht="15.75" hidden="false" customHeight="false" outlineLevel="0" collapsed="false">
      <c r="B7" s="19"/>
      <c r="C7" s="19"/>
      <c r="E7" s="19"/>
      <c r="F7" s="19"/>
      <c r="H7" s="19"/>
      <c r="I7" s="19"/>
      <c r="K7" s="19"/>
      <c r="L7" s="19"/>
      <c r="N7" s="19"/>
      <c r="O7" s="19"/>
      <c r="Q7" s="19"/>
      <c r="R7" s="19"/>
    </row>
    <row r="8" customFormat="false" ht="15.75" hidden="false" customHeight="false" outlineLevel="0" collapsed="false">
      <c r="B8" s="19"/>
      <c r="C8" s="19"/>
      <c r="E8" s="19"/>
      <c r="F8" s="19"/>
      <c r="H8" s="19"/>
      <c r="I8" s="19"/>
      <c r="K8" s="19"/>
      <c r="L8" s="19"/>
      <c r="N8" s="19"/>
      <c r="O8" s="19"/>
      <c r="Q8" s="19"/>
      <c r="R8" s="19"/>
    </row>
    <row r="9" customFormat="false" ht="15.75" hidden="false" customHeight="false" outlineLevel="0" collapsed="false">
      <c r="B9" s="19"/>
      <c r="C9" s="19"/>
      <c r="E9" s="19"/>
      <c r="F9" s="19"/>
      <c r="H9" s="19"/>
      <c r="I9" s="19"/>
      <c r="K9" s="19"/>
      <c r="L9" s="19"/>
      <c r="N9" s="19"/>
      <c r="O9" s="19"/>
      <c r="Q9" s="19"/>
      <c r="R9" s="19"/>
    </row>
    <row r="10" customFormat="false" ht="15.75" hidden="false" customHeight="false" outlineLevel="0" collapsed="false">
      <c r="B10" s="19"/>
      <c r="C10" s="19"/>
      <c r="E10" s="19"/>
      <c r="F10" s="19"/>
      <c r="H10" s="19"/>
      <c r="I10" s="19"/>
      <c r="K10" s="19"/>
      <c r="L10" s="19"/>
      <c r="N10" s="19"/>
      <c r="O10" s="19"/>
      <c r="Q10" s="19"/>
      <c r="R10" s="19"/>
    </row>
    <row r="11" customFormat="false" ht="15.75" hidden="false" customHeight="false" outlineLevel="0" collapsed="false">
      <c r="B11" s="19"/>
      <c r="C11" s="19"/>
      <c r="E11" s="19"/>
      <c r="F11" s="19"/>
      <c r="H11" s="19"/>
      <c r="I11" s="19"/>
      <c r="K11" s="19"/>
      <c r="L11" s="19"/>
      <c r="N11" s="19"/>
      <c r="O11" s="19"/>
      <c r="Q11" s="19"/>
      <c r="R11" s="19"/>
    </row>
    <row r="12" customFormat="false" ht="15.75" hidden="false" customHeight="false" outlineLevel="0" collapsed="false">
      <c r="B12" s="19"/>
      <c r="C12" s="19"/>
      <c r="E12" s="19"/>
      <c r="F12" s="19"/>
      <c r="H12" s="19"/>
      <c r="I12" s="19"/>
      <c r="K12" s="19"/>
      <c r="L12" s="19"/>
      <c r="N12" s="19"/>
      <c r="O12" s="19"/>
      <c r="Q12" s="19"/>
      <c r="R12" s="19"/>
    </row>
    <row r="13" customFormat="false" ht="15.75" hidden="false" customHeight="false" outlineLevel="0" collapsed="false">
      <c r="B13" s="19"/>
      <c r="C13" s="19"/>
      <c r="E13" s="19"/>
      <c r="F13" s="19"/>
      <c r="H13" s="19"/>
      <c r="I13" s="19"/>
      <c r="K13" s="19"/>
      <c r="L13" s="19"/>
      <c r="N13" s="19"/>
      <c r="O13" s="19"/>
      <c r="Q13" s="19"/>
      <c r="R13" s="19"/>
    </row>
    <row r="14" customFormat="false" ht="15.75" hidden="false" customHeight="false" outlineLevel="0" collapsed="false">
      <c r="B14" s="19"/>
      <c r="C14" s="19"/>
      <c r="E14" s="19"/>
      <c r="F14" s="19"/>
      <c r="H14" s="19"/>
      <c r="I14" s="19"/>
      <c r="K14" s="19"/>
      <c r="L14" s="19"/>
      <c r="N14" s="19"/>
      <c r="O14" s="19"/>
      <c r="Q14" s="19"/>
      <c r="R14" s="19"/>
    </row>
    <row r="15" customFormat="false" ht="15.75" hidden="false" customHeight="false" outlineLevel="0" collapsed="false">
      <c r="B15" s="19"/>
      <c r="C15" s="19"/>
      <c r="E15" s="19"/>
      <c r="F15" s="19"/>
      <c r="H15" s="19"/>
      <c r="I15" s="19"/>
      <c r="K15" s="19"/>
      <c r="L15" s="19"/>
      <c r="N15" s="19"/>
      <c r="O15" s="19"/>
      <c r="Q15" s="19"/>
      <c r="R15" s="19"/>
    </row>
    <row r="16" customFormat="false" ht="15.75" hidden="false" customHeight="false" outlineLevel="0" collapsed="false">
      <c r="B16" s="19"/>
      <c r="C16" s="19"/>
      <c r="E16" s="19"/>
      <c r="F16" s="19"/>
      <c r="H16" s="19"/>
      <c r="I16" s="19"/>
      <c r="K16" s="19"/>
      <c r="L16" s="19"/>
      <c r="N16" s="19"/>
      <c r="O16" s="19"/>
      <c r="Q16" s="19"/>
      <c r="R16" s="19"/>
    </row>
    <row r="17" customFormat="false" ht="15.75" hidden="false" customHeight="false" outlineLevel="0" collapsed="false">
      <c r="B17" s="19"/>
      <c r="C17" s="19"/>
      <c r="E17" s="19"/>
      <c r="F17" s="19"/>
      <c r="H17" s="19"/>
      <c r="I17" s="19"/>
      <c r="K17" s="19"/>
      <c r="L17" s="19"/>
      <c r="N17" s="19"/>
      <c r="O17" s="19"/>
      <c r="Q17" s="19"/>
      <c r="R17" s="19"/>
    </row>
    <row r="18" customFormat="false" ht="15.75" hidden="false" customHeight="false" outlineLevel="0" collapsed="false">
      <c r="B18" s="19"/>
      <c r="C18" s="19"/>
      <c r="E18" s="19"/>
      <c r="F18" s="19"/>
      <c r="H18" s="19"/>
      <c r="I18" s="19"/>
      <c r="K18" s="19"/>
      <c r="L18" s="19"/>
      <c r="N18" s="19"/>
      <c r="O18" s="19"/>
      <c r="Q18" s="19"/>
      <c r="R18" s="19"/>
    </row>
    <row r="19" customFormat="false" ht="15.75" hidden="false" customHeight="false" outlineLevel="0" collapsed="false">
      <c r="B19" s="19"/>
      <c r="C19" s="19"/>
      <c r="E19" s="19"/>
      <c r="F19" s="19"/>
      <c r="H19" s="19"/>
      <c r="I19" s="19"/>
      <c r="K19" s="19"/>
      <c r="L19" s="19"/>
      <c r="N19" s="19"/>
      <c r="O19" s="19"/>
      <c r="Q19" s="19"/>
      <c r="R19" s="19"/>
    </row>
    <row r="20" customFormat="false" ht="15.75" hidden="false" customHeight="false" outlineLevel="0" collapsed="false">
      <c r="B20" s="19"/>
      <c r="C20" s="19"/>
      <c r="E20" s="19"/>
      <c r="F20" s="19"/>
      <c r="H20" s="19"/>
      <c r="I20" s="19"/>
      <c r="K20" s="19"/>
      <c r="L20" s="19"/>
      <c r="N20" s="19"/>
      <c r="O20" s="19"/>
      <c r="Q20" s="19"/>
      <c r="R20" s="19"/>
    </row>
    <row r="21" customFormat="false" ht="15.75" hidden="false" customHeight="false" outlineLevel="0" collapsed="false">
      <c r="B21" s="19"/>
      <c r="C21" s="19"/>
      <c r="E21" s="19"/>
      <c r="F21" s="19"/>
      <c r="H21" s="19"/>
      <c r="I21" s="19"/>
      <c r="K21" s="19"/>
      <c r="L21" s="19"/>
      <c r="N21" s="19"/>
      <c r="O21" s="19"/>
      <c r="Q21" s="19"/>
      <c r="R21" s="19"/>
    </row>
    <row r="22" customFormat="false" ht="15.75" hidden="false" customHeight="false" outlineLevel="0" collapsed="false">
      <c r="B22" s="19"/>
      <c r="C22" s="19"/>
      <c r="E22" s="19"/>
      <c r="F22" s="19"/>
      <c r="H22" s="19"/>
      <c r="I22" s="19"/>
      <c r="K22" s="19"/>
      <c r="L22" s="19"/>
      <c r="N22" s="19"/>
      <c r="O22" s="19"/>
      <c r="Q22" s="19"/>
      <c r="R22" s="19"/>
    </row>
    <row r="23" customFormat="false" ht="15.75" hidden="false" customHeight="false" outlineLevel="0" collapsed="false">
      <c r="B23" s="19"/>
      <c r="C23" s="19"/>
      <c r="E23" s="19"/>
      <c r="F23" s="19"/>
      <c r="H23" s="19"/>
      <c r="I23" s="19"/>
      <c r="K23" s="19"/>
      <c r="L23" s="19"/>
      <c r="N23" s="19"/>
      <c r="O23" s="19"/>
      <c r="Q23" s="19"/>
      <c r="R23" s="19"/>
    </row>
    <row r="24" customFormat="false" ht="15.75" hidden="false" customHeight="false" outlineLevel="0" collapsed="false">
      <c r="B24" s="19"/>
      <c r="C24" s="19"/>
      <c r="E24" s="19"/>
      <c r="F24" s="19"/>
      <c r="H24" s="19"/>
      <c r="I24" s="19"/>
      <c r="K24" s="19"/>
      <c r="L24" s="19"/>
      <c r="N24" s="19"/>
      <c r="O24" s="19"/>
      <c r="Q24" s="19"/>
      <c r="R24" s="19"/>
    </row>
  </sheetData>
  <mergeCells count="6">
    <mergeCell ref="B2:C3"/>
    <mergeCell ref="E2:F2"/>
    <mergeCell ref="H2:I2"/>
    <mergeCell ref="K2:L2"/>
    <mergeCell ref="N2:O2"/>
    <mergeCell ref="Q2:R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LibreOffice/24.8.3.2$MacOSX_X86_64 LibreOffice_project/48a6bac9e7e268aeb4c3483fcf825c94556d9f92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2025-04-14T16:49:18Z</dcterms:created>
  <dc:creator>Norm Jones</dc:creator>
  <dc:description/>
  <dc:language>en-US</dc:language>
  <cp:lastModifiedBy>Norm Jones</cp:lastModifiedBy>
  <dcterms:modified xsi:type="dcterms:W3CDTF">2026-06-12T20:54:39Z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