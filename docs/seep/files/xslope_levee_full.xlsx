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BA37596C-E1DB-0E48-958B-2D83A9048415}" xr6:coauthVersionLast="47" xr6:coauthVersionMax="47" xr10:uidLastSave="{00000000-0000-0000-0000-000000000000}"/>
  <bookViews>
    <workbookView xWindow="3940" yWindow="3840" windowWidth="26600" windowHeight="1968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<sst xmlns="http://schemas.openxmlformats.org/spreadsheetml/2006/main" count="278" uniqueCount="156">
  <si>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</si>
  <si>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</si>
  <si>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</si>
  <si>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</si>
  <si>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</si>
  <si>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</si>
  <si>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</si>
  <si>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</si>
  <si>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</si>
  <si>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</si>
  <si>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</si>
  <si>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</si>
  <si>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</si>
  <si>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</si>
  <si>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</si>
  <si>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</si>
  <si>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</si>
  <si>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</si>
  <si>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</si>
  <si>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</si>
  <si>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</si>
  <si>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</si>
  <si>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</si>
  <si>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</si>
  <si>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</si>
  <si>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</si>
  <si>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</si>
  <si>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</si>
  <si>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</si>
  <si>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</si>
  <si>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</si>
  <si>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</si>
  <si>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</si>
  <si>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</si>
  <si>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</si>
  <si>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</si>
  <si>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</si>
  <si>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</si>
  <si>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</si>
  <si>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</si>
  <si>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</si>
  <si>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</si>
  <si>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</si>
  <si>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</si>
  <si>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</si>
  <si>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</si>
  <si>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</si>
  <si>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</si>
  <si>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</si>
  <si>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</si>
  <si>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</si>
  <si>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</si>
  <si>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</si>
  <si>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</si>
  <si>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</si>
  <si>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</si>
  <si>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</si>
  <si>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</si>
  <si>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</si>
  <si>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</si>
  <si>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</si>
  <si>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</si>
  <si>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</si>
  <si>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</si>
  <si>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</si>
  <si>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</si>
  <si>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</si>
  <si>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</si>
  <si>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</si>
  <si>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</si>
  <si>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</si>
  <si>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</si>
  <si>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</si>
  <si>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</si>
  <si>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</si>
  <si>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</si>
  <si>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</si>
  <si>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</si>
  <si>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</si>
  <si>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</si>
  <si>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</si>
  <si>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</si>
  <si>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</si>
  <si>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</si>
  <si>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</si>
  <si>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</si>
  <si>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</si>
  <si>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</si>
  <si>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</si>
  <si>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</si>
  <si>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</si>
  <si>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</si>
  <si>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</si>
  <si>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</si>
  <si>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</si>
  <si>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</si>
  <si>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</si>
  <si>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</si>
  <si>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</si>
  <si>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</si>
  <si>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</si>
  <si>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</si>
  <si>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</si>
  <si>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</si>
  <si>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</si>
  <si>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</si>
  <si>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</si>
  <si>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</si>
  <si>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</si>
  <si>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</si>
  <si>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</si>
  <si>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</si>
  <si>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</si>
  <si>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</si>
  <si>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</si>
  <si>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</si>
  <si>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</si>
  <si>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</si>
  <si>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</si>
  <si>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</si>
  <si>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</si>
  <si>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</si>
  <si>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</si>
  <si>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</si>
  <si>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</si>
  <si>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</si>
  <si>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</si>
  <si>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</si>
  <si>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</si>
  <si>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</si>
  <si>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</si>
  <si>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</si>
  <si>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</si>
  <si>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</si>
  <si>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</si>
  <si>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</si>
  <si>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</si>
  <si>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</si>
  <si>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</si>
  <si>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</si>
  <si>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</si>
  <si>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</si>
  <si>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</si>
  <si>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</si>
  <si>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</si>
  <si>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</si>
  <si>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</si>
  <si>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</si>
  <si>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</si>
  <si>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</si>
  <si>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</si>
  <si>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</si>
  <si>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</si>
  <si>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foundation</t>
  </si>
  <si>
    <t>grout</t>
  </si>
  <si>
    <t>levee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</si>
</sst>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20</c:v>
                </c:pt>
                <c:pt idx="1">
                  <c:v>26.4</c:v>
                </c:pt>
                <c:pt idx="2">
                  <c:v>27.2</c:v>
                </c:pt>
                <c:pt idx="3">
                  <c:v>30.8</c:v>
                </c:pt>
                <c:pt idx="4">
                  <c:v>38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</c:v>
                </c:pt>
                <c:pt idx="1">
                  <c:v>14</c:v>
                </c:pt>
                <c:pt idx="2">
                  <c:v>14.5</c:v>
                </c:pt>
                <c:pt idx="3">
                  <c:v>14.5</c:v>
                </c:pt>
                <c:pt idx="4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0</c:v>
                </c:pt>
                <c:pt idx="1">
                  <c:v>26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26</c:v>
                </c:pt>
                <c:pt idx="1">
                  <c:v>32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32</c:v>
                </c:pt>
                <c:pt idx="1">
                  <c:v>58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30.8</c:v>
                </c:pt>
                <c:pt idx="1">
                  <c:v>38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14.5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26.4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  <c:pt idx="2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38</c:v>
                </c:pt>
                <c:pt idx="1">
                  <c:v>58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27" sqref="D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R10" sqref="R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0.5</v>
      </c>
      <c r="S9" s="3">
        <v>0.2</v>
      </c>
      <c r="T9" s="3">
        <v>0</v>
      </c>
      <c r="U9" s="3">
        <v>1E-3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0.2</v>
      </c>
      <c r="S10" s="3">
        <v>0.2</v>
      </c>
      <c r="T10" s="3">
        <v>0</v>
      </c>
      <c r="U10" s="3">
        <v>1E-3</v>
      </c>
      <c r="V10" s="3">
        <v>-1</v>
      </c>
      <c r="W10" s="3"/>
      <c r="X10" s="3"/>
    </row>
    <row r="11" spans="1:24" x14ac:dyDescent="0.2">
      <c r="A11" s="3">
        <v>3</v>
      </c>
      <c r="B11" s="3" t="s">
        <v>153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>
        <v>2</v>
      </c>
      <c r="S11" s="3">
        <v>1</v>
      </c>
      <c r="T11" s="3">
        <v>0</v>
      </c>
      <c r="U11" s="3">
        <v>1E-3</v>
      </c>
      <c r="V11" s="3">
        <v>-1</v>
      </c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10" priority="5">
      <formula>$D9="cp"</formula>
    </cfRule>
  </conditionalFormatting>
  <conditionalFormatting sqref="G9:H50">
    <cfRule type="expression" dxfId="9" priority="4">
      <formula>$D9="mc"</formula>
    </cfRule>
  </conditionalFormatting>
  <conditionalFormatting sqref="I9:J50">
    <cfRule type="expression" dxfId="8" priority="6">
      <formula>$D9="cp"</formula>
    </cfRule>
  </conditionalFormatting>
  <conditionalFormatting sqref="M9:N50">
    <cfRule type="expression" dxfId="7" priority="8">
      <formula>$D9="cp"</formula>
    </cfRule>
  </conditionalFormatting>
  <conditionalFormatting sqref="O9:O50">
    <cfRule type="expression" dxfId="6" priority="15">
      <formula>$D9="mc"</formula>
    </cfRule>
  </conditionalFormatting>
  <conditionalFormatting sqref="P9:Q50">
    <cfRule type="expression" dxfId="5" priority="10">
      <formula>$D9="cp"</formula>
    </cfRule>
  </conditionalFormatting>
  <conditionalFormatting sqref="R9:V10">
    <cfRule type="expression" dxfId="4" priority="2">
      <formula>$D9="cp"</formula>
    </cfRule>
  </conditionalFormatting>
  <conditionalFormatting sqref="T11:V11">
    <cfRule type="expression" dxfId="3" priority="1">
      <formula>$D11="cp"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K14" sqref="K14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3</v>
      </c>
      <c r="G5" s="41" t="s">
        <v>128</v>
      </c>
      <c r="H5" s="42">
        <v>2</v>
      </c>
      <c r="J5" s="41" t="s">
        <v>128</v>
      </c>
      <c r="K5" s="42">
        <v>3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levee</v>
      </c>
      <c r="B6" s="47"/>
      <c r="D6" s="46" t="str">
        <f>_xlfn.XLOOKUP(E5,mat!$A:$A, mat!$B:$B,"") &amp; ""</f>
        <v>foundation</v>
      </c>
      <c r="E6" s="47"/>
      <c r="G6" s="46" t="str">
        <f>_xlfn.XLOOKUP(H5,mat!$A:$A, mat!$B:$B,"") &amp; ""</f>
        <v>grout</v>
      </c>
      <c r="H6" s="47"/>
      <c r="J6" s="46" t="str">
        <f>_xlfn.XLOOKUP(K5,mat!$A:$A, mat!$B:$B,"") &amp; ""</f>
        <v>foundation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</v>
      </c>
      <c r="B8" s="3">
        <v>10</v>
      </c>
      <c r="D8" s="3">
        <v>0</v>
      </c>
      <c r="E8" s="3">
        <v>10</v>
      </c>
      <c r="G8" s="3">
        <v>26</v>
      </c>
      <c r="H8" s="3">
        <v>10</v>
      </c>
      <c r="J8" s="3">
        <v>32</v>
      </c>
      <c r="K8" s="3">
        <v>10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26.4</v>
      </c>
      <c r="B9" s="3">
        <v>14</v>
      </c>
      <c r="D9" s="3">
        <v>26</v>
      </c>
      <c r="E9" s="3">
        <v>10</v>
      </c>
      <c r="G9" s="3">
        <v>32</v>
      </c>
      <c r="H9" s="3">
        <v>10</v>
      </c>
      <c r="J9" s="3">
        <v>58</v>
      </c>
      <c r="K9" s="3">
        <v>10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27.2</v>
      </c>
      <c r="B10" s="3">
        <v>14.5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30.8</v>
      </c>
      <c r="B11" s="3">
        <v>14.5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</v>
      </c>
      <c r="B12" s="3">
        <v>10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19" sqref="B19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33599428-165E-C647-A229-66E258A03078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14</v>
      </c>
      <c r="H3" s="37" t="s">
        <v>97</v>
      </c>
      <c r="I3" s="38">
        <v>10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30.8</v>
      </c>
      <c r="C5" s="3">
        <v>14.5</v>
      </c>
      <c r="E5" s="3">
        <v>0</v>
      </c>
      <c r="F5" s="3">
        <v>10</v>
      </c>
      <c r="H5" s="3">
        <v>38</v>
      </c>
      <c r="I5" s="3">
        <v>10</v>
      </c>
      <c r="K5" s="3"/>
      <c r="L5" s="3"/>
      <c r="N5" s="3"/>
      <c r="O5" s="3"/>
      <c r="Q5" s="3"/>
      <c r="R5" s="3"/>
    </row>
    <row r="6" spans="2:18" x14ac:dyDescent="0.2">
      <c r="B6" s="3">
        <v>38</v>
      </c>
      <c r="C6" s="3">
        <v>10</v>
      </c>
      <c r="E6" s="3">
        <v>20</v>
      </c>
      <c r="F6" s="3">
        <v>10</v>
      </c>
      <c r="H6" s="3">
        <v>58</v>
      </c>
      <c r="I6" s="3">
        <v>10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26.4</v>
      </c>
      <c r="F7" s="3">
        <v>14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2026-02-06T20:54:28Z</dcterms:modified>
</cp:coreProperties>
</file>