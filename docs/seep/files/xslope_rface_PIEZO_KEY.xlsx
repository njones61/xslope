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<sst xmlns="http://schemas.openxmlformats.org/spreadsheetml/2006/main" count="624" uniqueCount="329">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</sst>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Silt</t>
        </is>
      </c>
      <c r="C11" s="3">
        <v>130.0</v>
      </c>
      <c r="D11" s="3">
        <v>135.0</v>
      </c>
      <c r="E11" s="3" t="inlineStr">
        <is>
          <t>mc</t>
        </is>
      </c>
      <c r="F11" s="3">
        <v>200.0</v>
      </c>
      <c r="G11" s="3">
        <v>28.0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Sand</t>
        </is>
      </c>
      <c r="C12" s="3">
        <v>120.0</v>
      </c>
      <c r="D12" s="3">
        <v>125.0</v>
      </c>
      <c r="E12" s="3" t="inlineStr">
        <is>
          <t>mc</t>
        </is>
      </c>
      <c r="F12" s="3">
        <v>100.0</v>
      </c>
      <c r="G12" s="3">
        <v>32.0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132.0</v>
      </c>
      <c r="D13" s="3">
        <v>137.0</v>
      </c>
      <c r="E13" s="3" t="inlineStr">
        <is>
          <t>mc</t>
        </is>
      </c>
      <c r="F13" s="3">
        <v>400.0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Silt</v>
      </c>
      <c r="B6" s="57"/>
      <c r="D6" s="56" t="str">
        <f>_xlfn.XLOOKUP(E5,mat!$A:$A, mat!$B:$B,"") &amp; ""</f>
        <v>Sand</v>
      </c>
      <c r="E6" s="57"/>
      <c r="G6" s="56" t="str">
        <f>_xlfn.XLOOKUP(H5,mat!$A:$A, mat!$B:$B,"") &amp; ""</f>
        <v>Clay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Silt</v>
      </c>
      <c r="B7" s="57"/>
      <c r="D7" s="58" t="str">
        <f>IF(OR(E5="",E5="material"),_xlfn.XLOOKUP(E6,mat!$A:$A, mat!$B:$B,"") &amp; "","")</f>
        <v>Sand</v>
      </c>
      <c r="E7" s="57"/>
      <c r="G7" s="58" t="str">
        <f>IF(OR(H5="",H5="material"),_xlfn.XLOOKUP(H6,mat!$A:$A, mat!$B:$B,"") &amp; "","")</f>
        <v>Clay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190</v>
      </c>
    </row>
    <row r="6" spans="1:8" x14ac:dyDescent="0.2">
      <c r="A6" s="3">
        <v>75.0</v>
      </c>
      <c r="B6" s="3">
        <v>79.0</v>
      </c>
      <c r="D6" s="3"/>
      <c r="E6" s="3"/>
      <c r="G6" s="1" t="s">
        <v>191</v>
      </c>
      <c r="H6" t="s">
        <v>192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175.0</v>
      </c>
      <c r="C3" s="3">
        <v>100.0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175.0</v>
      </c>
      <c r="C4" s="3">
        <v>120.0</v>
      </c>
      <c r="D4" s="3" t="inlineStr">
        <is>
          <t>Depth</t>
        </is>
      </c>
      <c r="E4" s="3">
        <v>40.0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