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<sst xmlns="http://schemas.openxmlformats.org/spreadsheetml/2006/main" count="624" uniqueCount="329">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</sst>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Silt</t>
        </is>
      </c>
      <c r="C11" s="3">
        <v>130.0</v>
      </c>
      <c r="D11" s="3">
        <v>135.0</v>
      </c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0.5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120.0</v>
      </c>
      <c r="D12" s="3">
        <v>125.0</v>
      </c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1.0</v>
      </c>
      <c r="AH12" s="3">
        <v>1.0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132.0</v>
      </c>
      <c r="D13" s="3">
        <v>137.0</v>
      </c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0.01</v>
      </c>
      <c r="AH13" s="3">
        <v>0.01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Silt</v>
      </c>
      <c r="B6" s="57"/>
      <c r="D6" s="56" t="str">
        <f>_xlfn.XLOOKUP(E5,mat!$A:$A, mat!$B:$B,"") &amp; ""</f>
        <v>Sand</v>
      </c>
      <c r="E6" s="57"/>
      <c r="G6" s="56" t="str">
        <f>_xlfn.XLOOKUP(H5,mat!$A:$A, mat!$B:$B,"") &amp; ""</f>
        <v>Clay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Silt</v>
      </c>
      <c r="B7" s="57"/>
      <c r="D7" s="58" t="str">
        <f>IF(OR(E5="",E5="material"),_xlfn.XLOOKUP(E6,mat!$A:$A, mat!$B:$B,"") &amp; "","")</f>
        <v>Sand</v>
      </c>
      <c r="E7" s="57"/>
      <c r="G7" s="58" t="str">
        <f>IF(OR(H5="",H5="material"),_xlfn.XLOOKUP(H6,mat!$A:$A, mat!$B:$B,"") &amp; "","")</f>
        <v>Clay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80.0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150.0</v>
      </c>
      <c r="C5" s="3">
        <v>84.0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204.3</v>
      </c>
      <c r="C6" s="3">
        <v>40.0</v>
      </c>
      <c r="E6" s="3">
        <v>0.0</v>
      </c>
      <c r="F6" s="3">
        <v>80.0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320.0</v>
      </c>
      <c r="C7" s="3">
        <v>40.0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