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B3293A3-B1F8-4840-BCCF-D44260C5241D}" xr6:coauthVersionLast="47" xr6:coauthVersionMax="47" xr10:uidLastSave="{00000000-0000-0000-0000-000000000000}"/>
  <bookViews>
    <workbookView xWindow="25040" yWindow="25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<sst xmlns="http://schemas.openxmlformats.org/spreadsheetml/2006/main" count="357" uniqueCount="181">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</sst>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 t="s">
        <v>100</v>
      </c>
      <c r="X7" s="49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inlineStr">
        <is>
          <t>Sand</t>
        </is>
      </c>
      <c r="C9" s="3">
        <v>20.0</v>
      </c>
      <c r="D9" s="3" t="inlineStr">
        <is>
          <t>mc</t>
        </is>
      </c>
      <c r="E9" s="3">
        <v>0.0</v>
      </c>
      <c r="F9" s="3">
        <v>30.0</v>
      </c>
      <c r="G9" s="3"/>
      <c r="H9" s="3"/>
      <c r="I9" s="3"/>
      <c r="J9" s="3"/>
      <c r="K9" s="3" t="inlineStr">
        <is>
          <t>seep</t>
        </is>
      </c>
      <c r="L9" s="3"/>
      <c r="M9" s="3"/>
      <c r="N9" s="3"/>
      <c r="O9" s="3"/>
      <c r="P9" s="3"/>
      <c r="Q9" s="3"/>
      <c r="R9" s="3">
        <v>1.0</v>
      </c>
      <c r="S9" s="3">
        <v>1.0</v>
      </c>
      <c r="T9" s="3">
        <v>0.0</v>
      </c>
      <c r="U9" s="3">
        <v>0.01</v>
      </c>
      <c r="V9" s="3">
        <v>-1.0</v>
      </c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94</v>
      </c>
    </row>
    <row r="4" spans="1:44" x14ac:dyDescent="0.2">
      <c r="A4" s="52" t="s">
        <v>2</v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114</v>
      </c>
      <c r="AF4" s="52"/>
      <c r="AG4" s="1"/>
      <c r="AH4" s="52" t="s">
        <v>115</v>
      </c>
      <c r="AI4" s="52"/>
      <c r="AJ4" s="1"/>
      <c r="AK4" s="52" t="s">
        <v>116</v>
      </c>
      <c r="AL4" s="52"/>
      <c r="AM4" s="1"/>
      <c r="AN4" s="52" t="s">
        <v>117</v>
      </c>
      <c r="AO4" s="52"/>
      <c r="AP4" s="1"/>
      <c r="AQ4" s="52" t="s">
        <v>118</v>
      </c>
      <c r="AR4" s="52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0" t="str">
        <f>_xlfn.XLOOKUP(B5,mat!$A:$A, mat!$B:$B,"") &amp; ""</f>
        <v/>
      </c>
      <c r="B6" s="51"/>
      <c r="D6" s="50" t="str">
        <f>_xlfn.XLOOKUP(E5,mat!$A:$A, mat!$B:$B,"") &amp; ""</f>
        <v/>
      </c>
      <c r="E6" s="51"/>
      <c r="G6" s="50" t="str">
        <f>_xlfn.XLOOKUP(H5,mat!$A:$A, mat!$B:$B,"") &amp; ""</f>
        <v/>
      </c>
      <c r="H6" s="51"/>
      <c r="J6" s="50" t="str">
        <f>_xlfn.XLOOKUP(K5,mat!$A:$A, mat!$B:$B,"") &amp; ""</f>
        <v/>
      </c>
      <c r="K6" s="51"/>
      <c r="M6" s="50" t="str">
        <f>_xlfn.XLOOKUP(N5,mat!$A:$A, mat!$B:$B,"") &amp; ""</f>
        <v/>
      </c>
      <c r="N6" s="51"/>
      <c r="P6" s="50" t="str">
        <f>_xlfn.XLOOKUP(Q5,mat!$A:$A, mat!$B:$B,"") &amp; ""</f>
        <v/>
      </c>
      <c r="Q6" s="51"/>
      <c r="R6" s="1"/>
      <c r="S6" s="50" t="str">
        <f>_xlfn.XLOOKUP(T5,mat!$A:$A, mat!$B:$B,"") &amp; ""</f>
        <v/>
      </c>
      <c r="T6" s="51"/>
      <c r="U6" s="1"/>
      <c r="V6" s="50" t="str">
        <f>_xlfn.XLOOKUP(W5,mat!$A:$A, mat!$B:$B,"") &amp; ""</f>
        <v/>
      </c>
      <c r="W6" s="51"/>
      <c r="X6" s="1"/>
      <c r="Y6" s="50" t="str">
        <f>_xlfn.XLOOKUP(Z5,mat!$A:$A, mat!$B:$B,"") &amp; ""</f>
        <v/>
      </c>
      <c r="Z6" s="51"/>
      <c r="AA6" s="1"/>
      <c r="AB6" s="50" t="str">
        <f>_xlfn.XLOOKUP(AC5,mat!$A:$A, mat!$B:$B,"") &amp; ""</f>
        <v/>
      </c>
      <c r="AC6" s="51"/>
      <c r="AE6" s="50" t="str">
        <f>_xlfn.XLOOKUP(AF5,mat!$A:$A, mat!$B:$B,"") &amp; ""</f>
        <v/>
      </c>
      <c r="AF6" s="51"/>
      <c r="AG6" s="1"/>
      <c r="AH6" s="50" t="str">
        <f>_xlfn.XLOOKUP(AI5,mat!$A:$A, mat!$B:$B,"") &amp; ""</f>
        <v/>
      </c>
      <c r="AI6" s="51"/>
      <c r="AJ6" s="1"/>
      <c r="AK6" s="50" t="str">
        <f>_xlfn.XLOOKUP(AL5,mat!$A:$A, mat!$B:$B,"") &amp; ""</f>
        <v/>
      </c>
      <c r="AL6" s="51"/>
      <c r="AM6" s="1"/>
      <c r="AN6" s="50" t="str">
        <f>_xlfn.XLOOKUP(AO5,mat!$A:$A, mat!$B:$B,"") &amp; ""</f>
        <v/>
      </c>
      <c r="AO6" s="51"/>
      <c r="AP6" s="1"/>
      <c r="AQ6" s="50" t="str">
        <f>_xlfn.XLOOKUP(AR5,mat!$A:$A, mat!$B:$B,"") &amp; ""</f>
        <v/>
      </c>
      <c r="AR6" s="51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-80.0</v>
      </c>
      <c r="B8" s="3">
        <v>20.0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-0.05</v>
      </c>
      <c r="B9" s="3">
        <v>20.0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0.0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0.05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2" t="s">
        <v>153</v>
      </c>
      <c r="B4" s="52"/>
      <c r="D4" s="52" t="s">
        <v>154</v>
      </c>
      <c r="E4" s="52"/>
      <c r="G4" s="52" t="s">
        <v>155</v>
      </c>
      <c r="H4" s="52"/>
      <c r="J4" s="52" t="s">
        <v>156</v>
      </c>
      <c r="K4" s="52"/>
      <c r="M4" s="52" t="s">
        <v>157</v>
      </c>
      <c r="N4" s="52"/>
      <c r="P4" s="52" t="s">
        <v>158</v>
      </c>
      <c r="Q4" s="52"/>
      <c r="R4" s="1"/>
      <c r="S4" s="52" t="s">
        <v>159</v>
      </c>
      <c r="T4" s="52"/>
      <c r="U4" s="1"/>
      <c r="V4" s="52" t="s">
        <v>160</v>
      </c>
      <c r="W4" s="52"/>
      <c r="X4" s="1"/>
      <c r="Y4" s="52" t="s">
        <v>161</v>
      </c>
      <c r="Z4" s="52"/>
      <c r="AA4" s="1"/>
      <c r="AB4" s="52" t="s">
        <v>162</v>
      </c>
      <c r="AC4" s="52"/>
      <c r="AE4" s="52" t="s">
        <v>163</v>
      </c>
      <c r="AF4" s="52"/>
      <c r="AG4" s="1"/>
      <c r="AH4" s="52" t="s">
        <v>164</v>
      </c>
      <c r="AI4" s="52"/>
      <c r="AJ4" s="1"/>
      <c r="AK4" s="52" t="s">
        <v>165</v>
      </c>
      <c r="AL4" s="52"/>
      <c r="AM4" s="1"/>
      <c r="AN4" s="52" t="s">
        <v>166</v>
      </c>
      <c r="AO4" s="52"/>
      <c r="AP4" s="1"/>
      <c r="AQ4" s="52" t="s">
        <v>167</v>
      </c>
      <c r="AR4" s="52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zoomScale="140" zoomScaleNormal="140" workbookViewId="0">
      <selection activeCell="R23" sqref="R2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>
        <v>30.0</v>
      </c>
      <c r="H3" s="37" t="s">
        <v>95</v>
      </c>
      <c r="I3" s="38">
        <v>20.0</v>
      </c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-80.0</v>
      </c>
      <c r="F5" s="3">
        <v>20.0</v>
      </c>
      <c r="H5" s="3">
        <v>0.05</v>
      </c>
      <c r="I5" s="3">
        <v>20.0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-0.05</v>
      </c>
      <c r="F6" s="3">
        <v>20.0</v>
      </c>
      <c r="H6" s="3">
        <v>80.0</v>
      </c>
      <c r="I6" s="3">
        <v>20.0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2026-06-03T22:05:34Z</dcterms:modified>
</cp:coreProperties>
</file>