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njones/PycharmProjects/xslope/docs/seepage/files/"/>
    </mc:Choice>
  </mc:AlternateContent>
  <xr:revisionPtr revIDLastSave="0" documentId="13_ncr:1_{56E2E29B-7D4C-DC4E-99FF-54D55714E30F}" xr6:coauthVersionLast="47" xr6:coauthVersionMax="47" xr10:uidLastSave="{00000000-0000-0000-0000-000000000000}"/>
  <bookViews>
    <workbookView xWindow="28800" yWindow="2240" windowWidth="38080" windowHeight="18420" xr2:uid="{BA54C293-CE08-6E4C-9212-B3317DAA148E}"/>
  </bookViews>
  <sheets>
    <sheet name="main" sheetId="1" r:id="rId1"/>
    <sheet name="plot" sheetId="9" r:id="rId2"/>
    <sheet name="profile" sheetId="2" r:id="rId3"/>
    <sheet name="mat" sheetId="3" r:id="rId4"/>
    <sheet name="piezo" sheetId="4" r:id="rId5"/>
    <sheet name="circles" sheetId="5" r:id="rId6"/>
    <sheet name="non-circ" sheetId="7" r:id="rId7"/>
    <sheet name="dloads" sheetId="8" r:id="rId8"/>
    <sheet name="reinforce" sheetId="12" r:id="rId9"/>
    <sheet name="seep bc" sheetId="11" r:id="rId10"/>
  </sheets>
  <definedNames>
    <definedName name="crack_depth">main!$D$20</definedName>
    <definedName name="crack_depth_water">main!$D$21</definedName>
    <definedName name="gamma_w">main!$D$19</definedName>
    <definedName name="k">main!$D$22</definedName>
    <definedName name="max_depth">profile!$B$2</definedName>
    <definedName name="mesh">mat!$L$19</definedName>
    <definedName name="solution1">mat!$L$20</definedName>
    <definedName name="solution2">mat!$L$21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<sst xmlns="http://schemas.openxmlformats.org/spreadsheetml/2006/main" count="205" uniqueCount="142">
  <si>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</si>
  <si>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</si>
  <si>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</si>
  <si>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</si>
  <si>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</si>
  <si>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</si>
  <si>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</si>
  <si>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</si>
  <si>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</si>
  <si>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</si>
  <si>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</si>
  <si>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</si>
  <si>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</si>
  <si>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</si>
  <si>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</si>
  <si>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</si>
  <si>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</si>
  <si>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</si>
  <si>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</si>
  <si>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</si>
  <si>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</si>
  <si>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</si>
  <si>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</si>
  <si>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</si>
  <si>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</si>
  <si>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</si>
  <si>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</si>
  <si>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</si>
  <si>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</si>
  <si>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</si>
  <si>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</si>
  <si>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</si>
  <si>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</si>
  <si>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</si>
  <si>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</si>
  <si>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</si>
  <si>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</si>
  <si>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</si>
  <si>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</si>
  <si>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</si>
  <si>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</si>
  <si>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</si>
  <si>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</si>
  <si>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</si>
  <si>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</si>
  <si>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</si>
  <si>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</si>
  <si>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</si>
  <si>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</si>
  <si>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</si>
  <si>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</si>
  <si>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</si>
  <si>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</si>
  <si>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</si>
  <si>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</si>
  <si>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</si>
  <si>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</si>
  <si>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</si>
  <si>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</si>
  <si>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Standard deviations only required when doing probabilistic analyses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</si>
  <si>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</si>
  <si>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</si>
  <si>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</si>
  <si>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</si>
  <si>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</si>
  <si>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</si>
  <si>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</si>
  <si>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</si>
  <si>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</si>
  <si>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</si>
  <si>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</si>
  <si>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</si>
  <si>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</si>
  <si>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</si>
  <si>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</si>
  <si>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</si>
  <si>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</si>
  <si>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</si>
  <si>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</si>
  <si>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</si>
  <si>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</si>
  <si>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</si>
  <si>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</si>
  <si>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</si>
  <si>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</si>
  <si>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d, ψ are only used for rapid drawdown analysis for low-k soils</t>
  </si>
  <si>
    <t>Piezometric Line 2</t>
  </si>
  <si>
    <t>* piezometric line 2 is only required for rapid drawdown analysis</t>
  </si>
  <si>
    <t>Piezometric Line 1</t>
  </si>
  <si>
    <t>Distributed Load #1a</t>
  </si>
  <si>
    <t>Distributed Load #2a</t>
  </si>
  <si>
    <t>Distributed Load #3a</t>
  </si>
  <si>
    <t>Distributed Load #4a</t>
  </si>
  <si>
    <t>Distributed Load #1b</t>
  </si>
  <si>
    <t>Distributed Load #2b</t>
  </si>
  <si>
    <t>Distributed Load #3b</t>
  </si>
  <si>
    <t>Distributed Load #4b</t>
  </si>
  <si>
    <t>Distributed load set (a) is used for a normal analysis</t>
  </si>
  <si>
    <t>Distributed load set (b) is only used for rapid drawdown analysis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</si>
  <si>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</si>
  <si>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</si>
  <si>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</si>
  <si>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</si>
  <si>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</si>
  <si>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</si>
  <si>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</si>
  <si>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</si>
  <si>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</si>
  <si>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</si>
  <si>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</si>
  <si>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Specified Head #1</t>
  </si>
  <si>
    <t>Specified Head #2</t>
  </si>
  <si>
    <t>Specified Head #3</t>
  </si>
  <si>
    <t>Exit Face</t>
  </si>
  <si>
    <t>Boundary conditions for seepage analysis</t>
  </si>
  <si>
    <t>seep bc</t>
  </si>
  <si>
    <t>kr0</t>
  </si>
  <si>
    <t>h0</t>
  </si>
  <si>
    <t>XSLOPE Input Template</t>
  </si>
  <si>
    <t>Seepage files</t>
  </si>
  <si>
    <t>mesh:</t>
  </si>
  <si>
    <t>solution 2:</t>
  </si>
  <si>
    <t>solution 1:</t>
  </si>
  <si>
    <t>seep_mesh.json</t>
  </si>
  <si>
    <t>seep_solution.csv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</si>
  <si>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</si>
  <si>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</si>
  <si>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</si>
  <si>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</si>
  <si>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</si>
  <si>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</si>
  <si>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</si>
  <si>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</si>
  <si>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</si>
  <si>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</si>
  <si>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</si>
  <si>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</si>
  <si>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</si>
  <si>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</si>
  <si>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shell</t>
  </si>
  <si>
    <t>core</t>
  </si>
  <si>
    <t>foundation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</si>
</sst>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i/>
      <sz val="11"/>
      <color theme="1"/>
      <name val="Aptos Narrow"/>
      <scheme val="minor"/>
    </font>
    <font>
      <sz val="12"/>
      <color rgb="FF0070C0"/>
      <name val="Aptos Narrow"/>
      <family val="2"/>
      <scheme val="minor"/>
    </font>
    <font>
      <sz val="12"/>
      <color rgb="FFC00000"/>
      <name val="Aptos Narrow"/>
      <family val="2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</cellXfs>
  <cellStyles count="1">
    <cellStyle name="Normal" xfId="0" builtinId="0"/>
  </cellStyles>
  <dxfs count="8"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profile!$A$6:$A$20</c:f>
              <c:numCache>
                <c:formatCode>General</c:formatCode>
                <c:ptCount val="15"/>
                <c:pt idx="0">
                  <c:v>200</c:v>
                </c:pt>
                <c:pt idx="1">
                  <c:v>320</c:v>
                </c:pt>
                <c:pt idx="2">
                  <c:v>360</c:v>
                </c:pt>
                <c:pt idx="3">
                  <c:v>380</c:v>
                </c:pt>
                <c:pt idx="4">
                  <c:v>550</c:v>
                </c:pt>
              </c:numCache>
            </c:numRef>
          </c:xVal>
          <c:yVal>
            <c:numRef>
              <c:f>profile!$B$6:$B$20</c:f>
              <c:numCache>
                <c:formatCode>General</c:formatCode>
                <c:ptCount val="15"/>
                <c:pt idx="0">
                  <c:v>100</c:v>
                </c:pt>
                <c:pt idx="1">
                  <c:v>160</c:v>
                </c:pt>
                <c:pt idx="2">
                  <c:v>180</c:v>
                </c:pt>
                <c:pt idx="3">
                  <c:v>180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profile!$D$6:$D$20</c:f>
              <c:numCache>
                <c:formatCode>General</c:formatCode>
                <c:ptCount val="15"/>
                <c:pt idx="0">
                  <c:v>320</c:v>
                </c:pt>
                <c:pt idx="1">
                  <c:v>360</c:v>
                </c:pt>
                <c:pt idx="2">
                  <c:v>380</c:v>
                </c:pt>
                <c:pt idx="3">
                  <c:v>420</c:v>
                </c:pt>
              </c:numCache>
            </c:numRef>
          </c:xVal>
          <c:yVal>
            <c:numRef>
              <c:f>profile!$E$6:$E$20</c:f>
              <c:numCache>
                <c:formatCode>General</c:formatCode>
                <c:ptCount val="15"/>
                <c:pt idx="0">
                  <c:v>100</c:v>
                </c:pt>
                <c:pt idx="1">
                  <c:v>165</c:v>
                </c:pt>
                <c:pt idx="2">
                  <c:v>165</c:v>
                </c:pt>
                <c:pt idx="3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profile!$G$6:$G$20</c:f>
              <c:numCache>
                <c:formatCode>General</c:formatCode>
                <c:ptCount val="15"/>
                <c:pt idx="0">
                  <c:v>0</c:v>
                </c:pt>
                <c:pt idx="1">
                  <c:v>320</c:v>
                </c:pt>
                <c:pt idx="2">
                  <c:v>360</c:v>
                </c:pt>
                <c:pt idx="3">
                  <c:v>380</c:v>
                </c:pt>
                <c:pt idx="4">
                  <c:v>420</c:v>
                </c:pt>
                <c:pt idx="5">
                  <c:v>750</c:v>
                </c:pt>
              </c:numCache>
            </c:numRef>
          </c:xVal>
          <c:yVal>
            <c:numRef>
              <c:f>profile!$H$6:$H$20</c:f>
              <c:numCache>
                <c:formatCode>General</c:formatCode>
                <c:ptCount val="15"/>
                <c:pt idx="0">
                  <c:v>100</c:v>
                </c:pt>
                <c:pt idx="1">
                  <c:v>100</c:v>
                </c:pt>
                <c:pt idx="2">
                  <c:v>60</c:v>
                </c:pt>
                <c:pt idx="3">
                  <c:v>60</c:v>
                </c:pt>
                <c:pt idx="4">
                  <c:v>100</c:v>
                </c:pt>
                <c:pt idx="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profile!$J$6:$J$20</c:f>
              <c:numCache>
                <c:formatCode>General</c:formatCode>
                <c:ptCount val="15"/>
              </c:numCache>
            </c:numRef>
          </c:xVal>
          <c:yVal>
            <c:numRef>
              <c:f>profile!$K$6:$K$20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profile!$M$6:$M$20</c:f>
              <c:numCache>
                <c:formatCode>General</c:formatCode>
                <c:ptCount val="15"/>
              </c:numCache>
            </c:numRef>
          </c:xVal>
          <c:yVal>
            <c:numRef>
              <c:f>profile!$N$6:$N$20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profile!$A$22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profile!$A$24:$A$38</c:f>
              <c:numCache>
                <c:formatCode>General</c:formatCode>
                <c:ptCount val="15"/>
              </c:numCache>
            </c:numRef>
          </c:xVal>
          <c:yVal>
            <c:numRef>
              <c:f>profile!$B$24:$B$38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profile!$D$22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profile!$D$24:$D$38</c:f>
              <c:numCache>
                <c:formatCode>General</c:formatCode>
                <c:ptCount val="15"/>
              </c:numCache>
            </c:numRef>
          </c:xVal>
          <c:yVal>
            <c:numRef>
              <c:f>profile!$E$24:$E$38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profile!$G$22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profile!$G$24:$G$38</c:f>
              <c:numCache>
                <c:formatCode>General</c:formatCode>
                <c:ptCount val="15"/>
              </c:numCache>
            </c:numRef>
          </c:xVal>
          <c:yVal>
            <c:numRef>
              <c:f>profile!$H$24:$H$38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profile!$J$22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profile!$J$24:$J$38</c:f>
              <c:numCache>
                <c:formatCode>General</c:formatCode>
                <c:ptCount val="15"/>
              </c:numCache>
            </c:numRef>
          </c:xVal>
          <c:yVal>
            <c:numRef>
              <c:f>profile!$K$24:$K$38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profile!$M$22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profile!$M$24:$M$38</c:f>
              <c:numCache>
                <c:formatCode>General</c:formatCode>
                <c:ptCount val="15"/>
              </c:numCache>
            </c:numRef>
          </c:xVal>
          <c:yVal>
            <c:numRef>
              <c:f>profile!$N$24:$N$38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10"/>
          <c:order val="10"/>
          <c:tx>
            <c:v>Piezometric Line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11"/>
          <c:order val="11"/>
          <c:tx>
            <c:v>Non-Circular Failure Surface</c:v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2"/>
          <c:tx>
            <c:strRef>
              <c:f>dloads!$B$2</c:f>
              <c:strCache>
                <c:ptCount val="1"/>
                <c:pt idx="0">
                  <c:v>Distributed Load #1a</c:v>
                </c:pt>
              </c:strCache>
            </c:strRef>
          </c:tx>
          <c:spPr>
            <a:ln w="7620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3"/>
          <c:tx>
            <c:strRef>
              <c:f>dloads!$F$2</c:f>
              <c:strCache>
                <c:ptCount val="1"/>
                <c:pt idx="0">
                  <c:v>Distributed Load #2a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14"/>
          <c:tx>
            <c:strRef>
              <c:f>dloads!$J$2</c:f>
              <c:strCache>
                <c:ptCount val="1"/>
                <c:pt idx="0">
                  <c:v>Distributed Load #3a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15"/>
          <c:tx>
            <c:strRef>
              <c:f>dloads!$N$2</c:f>
              <c:strCache>
                <c:ptCount val="1"/>
                <c:pt idx="0">
                  <c:v>Distributed Load #4a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16"/>
          <c:tx>
            <c:strRef>
              <c:f>dloads!$B$15</c:f>
              <c:strCache>
                <c:ptCount val="1"/>
                <c:pt idx="0">
                  <c:v>Distributed Load #1b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dloads!$B$17:$B$26</c:f>
              <c:numCache>
                <c:formatCode>General</c:formatCode>
                <c:ptCount val="10"/>
              </c:numCache>
            </c:numRef>
          </c:xVal>
          <c:yVal>
            <c:numRef>
              <c:f>dloads!$C$17:$C$26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17"/>
          <c:tx>
            <c:strRef>
              <c:f>dloads!$F$15</c:f>
              <c:strCache>
                <c:ptCount val="1"/>
                <c:pt idx="0">
                  <c:v>Distributed Load #2b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dloads!$F$17:$F$26</c:f>
              <c:numCache>
                <c:formatCode>General</c:formatCode>
                <c:ptCount val="10"/>
              </c:numCache>
            </c:numRef>
          </c:xVal>
          <c:yVal>
            <c:numRef>
              <c:f>dloads!$G$17:$G$26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18"/>
          <c:tx>
            <c:strRef>
              <c:f>dloads!$J$15</c:f>
              <c:strCache>
                <c:ptCount val="1"/>
                <c:pt idx="0">
                  <c:v>Distributed Load #3b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dloads!$J$17:$J$26</c:f>
              <c:numCache>
                <c:formatCode>General</c:formatCode>
                <c:ptCount val="10"/>
              </c:numCache>
            </c:numRef>
          </c:xVal>
          <c:yVal>
            <c:numRef>
              <c:f>dloads!$K$17:$K$26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19"/>
          <c:tx>
            <c:strRef>
              <c:f>dloads!$N$15</c:f>
              <c:strCache>
                <c:ptCount val="1"/>
                <c:pt idx="0">
                  <c:v>Distributed Load #4b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dloads!$N$17:$N$26</c:f>
              <c:numCache>
                <c:formatCode>General</c:formatCode>
                <c:ptCount val="10"/>
              </c:numCache>
            </c:numRef>
          </c:xVal>
          <c:yVal>
            <c:numRef>
              <c:f>dloads!$O$17:$O$26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32"/>
          <c:order val="20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33"/>
          <c:order val="21"/>
          <c:tx>
            <c:strRef>
              <c:f>'seep bc'!$B$2:$C$2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bc'!$B$5:$B$12</c:f>
              <c:numCache>
                <c:formatCode>General</c:formatCode>
                <c:ptCount val="8"/>
                <c:pt idx="0">
                  <c:v>0</c:v>
                </c:pt>
                <c:pt idx="1">
                  <c:v>200</c:v>
                </c:pt>
                <c:pt idx="2">
                  <c:v>320</c:v>
                </c:pt>
              </c:numCache>
            </c:numRef>
          </c:xVal>
          <c:yVal>
            <c:numRef>
              <c:f>'seep bc'!$C$5:$C$12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22"/>
          <c:tx>
            <c:strRef>
              <c:f>'seep bc'!$E$2:$F$2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bc'!$E$5:$E$12</c:f>
              <c:numCache>
                <c:formatCode>General</c:formatCode>
                <c:ptCount val="8"/>
                <c:pt idx="0">
                  <c:v>550</c:v>
                </c:pt>
                <c:pt idx="1">
                  <c:v>750</c:v>
                </c:pt>
              </c:numCache>
            </c:numRef>
          </c:xVal>
          <c:yVal>
            <c:numRef>
              <c:f>'seep bc'!$F$5:$F$12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23"/>
          <c:tx>
            <c:strRef>
              <c:f>'seep bc'!$H$2:$I$2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bc'!$H$5:$H$12</c:f>
              <c:numCache>
                <c:formatCode>General</c:formatCode>
                <c:ptCount val="8"/>
              </c:numCache>
            </c:numRef>
          </c:xVal>
          <c:yVal>
            <c:numRef>
              <c:f>'seep bc'!$I$5:$I$12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36"/>
          <c:order val="24"/>
          <c:tx>
            <c:strRef>
              <c:f>'seep bc'!$B$14:$C$14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'seep bc'!$B$16:$B$23</c:f>
              <c:numCache>
                <c:formatCode>General</c:formatCode>
                <c:ptCount val="8"/>
                <c:pt idx="0">
                  <c:v>380</c:v>
                </c:pt>
                <c:pt idx="1">
                  <c:v>550</c:v>
                </c:pt>
              </c:numCache>
            </c:numRef>
          </c:xVal>
          <c:yVal>
            <c:numRef>
              <c:f>'seep bc'!$C$16:$C$23</c:f>
              <c:numCache>
                <c:formatCode>General</c:formatCode>
                <c:ptCount val="8"/>
                <c:pt idx="0">
                  <c:v>180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20"/>
          <c:order val="25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26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27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28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29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0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1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2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3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4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35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36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37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38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39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0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1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2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3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4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190500</xdr:rowOff>
    </xdr:from>
    <xdr:to>
      <xdr:col>13</xdr:col>
      <xdr:colOff>18142</xdr:colOff>
      <xdr:row>29</xdr:row>
      <xdr:rowOff>166914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E24"/>
  <sheetViews>
    <sheetView showGridLines="0" tabSelected="1" zoomScale="140" zoomScaleNormal="140" workbookViewId="0">
      <selection activeCell="F18" sqref="F18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21.5" customWidth="1"/>
  </cols>
  <sheetData>
    <row r="1" spans="1:5" ht="32" x14ac:dyDescent="0.4">
      <c r="A1" s="7" t="s">
        <v>118</v>
      </c>
    </row>
    <row r="3" spans="1:5" ht="19" x14ac:dyDescent="0.25">
      <c r="B3" s="8" t="s">
        <v>14</v>
      </c>
    </row>
    <row r="5" spans="1:5" x14ac:dyDescent="0.2">
      <c r="B5" t="s">
        <v>80</v>
      </c>
      <c r="D5" s="39">
        <v>6</v>
      </c>
    </row>
    <row r="7" spans="1:5" x14ac:dyDescent="0.2">
      <c r="B7" s="15" t="s">
        <v>15</v>
      </c>
      <c r="C7" s="41" t="s">
        <v>16</v>
      </c>
      <c r="D7" s="41"/>
      <c r="E7" s="41"/>
    </row>
    <row r="8" spans="1:5" x14ac:dyDescent="0.2">
      <c r="B8" s="1" t="s">
        <v>17</v>
      </c>
      <c r="C8" t="s">
        <v>18</v>
      </c>
      <c r="D8"/>
    </row>
    <row r="9" spans="1:5" x14ac:dyDescent="0.2">
      <c r="B9" s="1" t="s">
        <v>19</v>
      </c>
      <c r="C9" t="s">
        <v>20</v>
      </c>
      <c r="D9"/>
    </row>
    <row r="10" spans="1:5" x14ac:dyDescent="0.2">
      <c r="B10" s="1" t="s">
        <v>21</v>
      </c>
      <c r="C10" t="s">
        <v>22</v>
      </c>
      <c r="D10"/>
    </row>
    <row r="11" spans="1:5" x14ac:dyDescent="0.2">
      <c r="B11" s="1" t="s">
        <v>23</v>
      </c>
      <c r="C11" t="s">
        <v>24</v>
      </c>
      <c r="D11"/>
    </row>
    <row r="12" spans="1:5" x14ac:dyDescent="0.2">
      <c r="B12" s="1" t="s">
        <v>38</v>
      </c>
      <c r="C12" t="s">
        <v>39</v>
      </c>
      <c r="D12"/>
    </row>
    <row r="13" spans="1:5" x14ac:dyDescent="0.2">
      <c r="B13" s="1" t="s">
        <v>34</v>
      </c>
      <c r="C13" t="s">
        <v>35</v>
      </c>
      <c r="D13"/>
    </row>
    <row r="14" spans="1:5" x14ac:dyDescent="0.2">
      <c r="B14" s="1" t="s">
        <v>36</v>
      </c>
      <c r="C14" t="s">
        <v>37</v>
      </c>
      <c r="D14"/>
    </row>
    <row r="15" spans="1:5" x14ac:dyDescent="0.2">
      <c r="B15" s="1" t="s">
        <v>115</v>
      </c>
      <c r="C15" s="9" t="s">
        <v>114</v>
      </c>
      <c r="D15" s="9"/>
    </row>
    <row r="16" spans="1:5" x14ac:dyDescent="0.2">
      <c r="B16" s="1"/>
      <c r="D16" s="9"/>
    </row>
    <row r="17" spans="2:4" x14ac:dyDescent="0.2">
      <c r="B17" s="1"/>
    </row>
    <row r="18" spans="2:4" x14ac:dyDescent="0.2">
      <c r="B18" s="40" t="s">
        <v>47</v>
      </c>
      <c r="C18" s="40"/>
      <c r="D18" s="40"/>
    </row>
    <row r="19" spans="2:4" x14ac:dyDescent="0.2">
      <c r="C19" s="14" t="s">
        <v>50</v>
      </c>
      <c r="D19" s="1">
        <v>62.4</v>
      </c>
    </row>
    <row r="20" spans="2:4" x14ac:dyDescent="0.2">
      <c r="C20" s="14" t="s">
        <v>49</v>
      </c>
      <c r="D20" s="1">
        <v>0</v>
      </c>
    </row>
    <row r="21" spans="2:4" x14ac:dyDescent="0.2">
      <c r="C21" s="14" t="s">
        <v>48</v>
      </c>
      <c r="D21" s="1">
        <v>0</v>
      </c>
    </row>
    <row r="22" spans="2:4" x14ac:dyDescent="0.2">
      <c r="B22" s="1"/>
      <c r="C22" s="14" t="s">
        <v>76</v>
      </c>
      <c r="D22" s="1">
        <v>0</v>
      </c>
    </row>
    <row r="23" spans="2:4" x14ac:dyDescent="0.2">
      <c r="B23" s="1"/>
    </row>
    <row r="24" spans="2:4" x14ac:dyDescent="0.2">
      <c r="B24" s="1"/>
    </row>
  </sheetData>
  <mergeCells count="2">
    <mergeCell ref="B18:D18"/>
    <mergeCell ref="C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40" zoomScaleNormal="140" workbookViewId="0">
      <selection activeCell="D34" sqref="D3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N38"/>
  <sheetViews>
    <sheetView showGridLines="0" zoomScale="140" zoomScaleNormal="140" workbookViewId="0">
      <selection activeCell="B11" sqref="B11"/>
    </sheetView>
  </sheetViews>
  <sheetFormatPr baseColWidth="10" defaultRowHeight="16" x14ac:dyDescent="0.2"/>
  <cols>
    <col min="1" max="2" width="10.83203125" style="1"/>
    <col min="3" max="3" width="5.33203125" style="1" customWidth="1"/>
    <col min="4" max="5" width="10.83203125" style="1"/>
    <col min="6" max="6" width="4" style="1" customWidth="1"/>
    <col min="7" max="8" width="10.83203125" style="1"/>
    <col min="9" max="9" width="4.6640625" style="1" customWidth="1"/>
    <col min="10" max="11" width="10.83203125" style="1"/>
    <col min="12" max="12" width="4.6640625" style="1" customWidth="1"/>
    <col min="13" max="14" width="10.83203125" style="1"/>
  </cols>
  <sheetData>
    <row r="2" spans="1:14" x14ac:dyDescent="0.2">
      <c r="A2" s="5" t="s">
        <v>46</v>
      </c>
      <c r="B2" s="3">
        <v>0</v>
      </c>
      <c r="D2" s="30" t="s">
        <v>108</v>
      </c>
    </row>
    <row r="4" spans="1:14" x14ac:dyDescent="0.2">
      <c r="A4" s="42" t="s">
        <v>2</v>
      </c>
      <c r="B4" s="42"/>
      <c r="D4" s="42" t="s">
        <v>5</v>
      </c>
      <c r="E4" s="42"/>
      <c r="G4" s="42" t="s">
        <v>6</v>
      </c>
      <c r="H4" s="42"/>
      <c r="J4" s="42" t="s">
        <v>7</v>
      </c>
      <c r="K4" s="42"/>
      <c r="M4" s="42" t="s">
        <v>8</v>
      </c>
      <c r="N4" s="42"/>
    </row>
    <row r="5" spans="1:14" x14ac:dyDescent="0.2">
      <c r="A5" s="2" t="s">
        <v>3</v>
      </c>
      <c r="B5" s="2" t="s">
        <v>4</v>
      </c>
      <c r="D5" s="2" t="s">
        <v>3</v>
      </c>
      <c r="E5" s="2" t="s">
        <v>4</v>
      </c>
      <c r="G5" s="2" t="s">
        <v>3</v>
      </c>
      <c r="H5" s="2" t="s">
        <v>4</v>
      </c>
      <c r="J5" s="2" t="s">
        <v>3</v>
      </c>
      <c r="K5" s="2" t="s">
        <v>4</v>
      </c>
      <c r="M5" s="2" t="s">
        <v>3</v>
      </c>
      <c r="N5" s="2" t="s">
        <v>4</v>
      </c>
    </row>
    <row r="6" spans="1:14" x14ac:dyDescent="0.2">
      <c r="A6" s="3">
        <v>200</v>
      </c>
      <c r="B6" s="3">
        <v>100</v>
      </c>
      <c r="D6" s="3">
        <v>320</v>
      </c>
      <c r="E6" s="3">
        <v>100</v>
      </c>
      <c r="G6" s="3">
        <v>0</v>
      </c>
      <c r="H6" s="3">
        <v>100</v>
      </c>
      <c r="J6" s="3"/>
      <c r="K6" s="3"/>
      <c r="M6" s="3"/>
      <c r="N6" s="3"/>
    </row>
    <row r="7" spans="1:14" x14ac:dyDescent="0.2">
      <c r="A7" s="3">
        <v>320</v>
      </c>
      <c r="B7" s="3">
        <v>160</v>
      </c>
      <c r="D7" s="3">
        <v>360</v>
      </c>
      <c r="E7" s="3">
        <v>165</v>
      </c>
      <c r="G7" s="3">
        <v>320</v>
      </c>
      <c r="H7" s="3">
        <v>100</v>
      </c>
      <c r="J7" s="3"/>
      <c r="K7" s="3"/>
      <c r="M7" s="3"/>
      <c r="N7" s="3"/>
    </row>
    <row r="8" spans="1:14" x14ac:dyDescent="0.2">
      <c r="A8" s="3">
        <v>360</v>
      </c>
      <c r="B8" s="3">
        <v>180</v>
      </c>
      <c r="D8" s="3">
        <v>380</v>
      </c>
      <c r="E8" s="3">
        <v>165</v>
      </c>
      <c r="G8" s="3">
        <v>360</v>
      </c>
      <c r="H8" s="3">
        <v>60</v>
      </c>
      <c r="J8" s="3"/>
      <c r="K8" s="3"/>
      <c r="M8" s="3"/>
      <c r="N8" s="3"/>
    </row>
    <row r="9" spans="1:14" x14ac:dyDescent="0.2">
      <c r="A9" s="3">
        <v>380</v>
      </c>
      <c r="B9" s="3">
        <v>180</v>
      </c>
      <c r="D9" s="3">
        <v>420</v>
      </c>
      <c r="E9" s="3">
        <v>100</v>
      </c>
      <c r="G9" s="3">
        <v>380</v>
      </c>
      <c r="H9" s="3">
        <v>60</v>
      </c>
      <c r="J9" s="3"/>
      <c r="K9" s="3"/>
      <c r="M9" s="3"/>
      <c r="N9" s="3"/>
    </row>
    <row r="10" spans="1:14" x14ac:dyDescent="0.2">
      <c r="A10" s="3">
        <v>550</v>
      </c>
      <c r="B10" s="3">
        <v>100</v>
      </c>
      <c r="D10" s="3"/>
      <c r="E10" s="3"/>
      <c r="G10" s="3">
        <v>420</v>
      </c>
      <c r="H10" s="3">
        <v>100</v>
      </c>
      <c r="J10" s="3"/>
      <c r="K10" s="3"/>
      <c r="M10" s="3"/>
      <c r="N10" s="3"/>
    </row>
    <row r="11" spans="1:14" x14ac:dyDescent="0.2">
      <c r="A11" s="3"/>
      <c r="B11" s="3"/>
      <c r="D11" s="3"/>
      <c r="E11" s="3"/>
      <c r="G11" s="3">
        <v>750</v>
      </c>
      <c r="H11" s="3">
        <v>100</v>
      </c>
      <c r="J11" s="3"/>
      <c r="K11" s="3"/>
      <c r="M11" s="3"/>
      <c r="N11" s="3"/>
    </row>
    <row r="12" spans="1:1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</row>
    <row r="13" spans="1:1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</row>
    <row r="14" spans="1:1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</row>
    <row r="15" spans="1:1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</row>
    <row r="16" spans="1:1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</row>
    <row r="17" spans="1:1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</row>
    <row r="18" spans="1:1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</row>
    <row r="19" spans="1:1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</row>
    <row r="20" spans="1:1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</row>
    <row r="22" spans="1:14" x14ac:dyDescent="0.2">
      <c r="A22" s="42" t="s">
        <v>9</v>
      </c>
      <c r="B22" s="42"/>
      <c r="D22" s="42" t="s">
        <v>10</v>
      </c>
      <c r="E22" s="42"/>
      <c r="G22" s="42" t="s">
        <v>11</v>
      </c>
      <c r="H22" s="42"/>
      <c r="J22" s="42" t="s">
        <v>12</v>
      </c>
      <c r="K22" s="42"/>
      <c r="M22" s="42" t="s">
        <v>13</v>
      </c>
      <c r="N22" s="42"/>
    </row>
    <row r="23" spans="1:14" x14ac:dyDescent="0.2">
      <c r="A23" s="2" t="s">
        <v>3</v>
      </c>
      <c r="B23" s="2" t="s">
        <v>4</v>
      </c>
      <c r="D23" s="2" t="s">
        <v>3</v>
      </c>
      <c r="E23" s="2" t="s">
        <v>4</v>
      </c>
      <c r="G23" s="2" t="s">
        <v>3</v>
      </c>
      <c r="H23" s="2" t="s">
        <v>4</v>
      </c>
      <c r="J23" s="2" t="s">
        <v>3</v>
      </c>
      <c r="K23" s="2" t="s">
        <v>4</v>
      </c>
      <c r="M23" s="2" t="s">
        <v>3</v>
      </c>
      <c r="N23" s="2" t="s">
        <v>4</v>
      </c>
    </row>
    <row r="24" spans="1:14" x14ac:dyDescent="0.2">
      <c r="A24" s="3"/>
      <c r="B24" s="3"/>
      <c r="D24" s="16"/>
      <c r="E24" s="17"/>
      <c r="G24" s="16"/>
      <c r="H24" s="17"/>
      <c r="J24" s="16"/>
      <c r="K24" s="17"/>
      <c r="M24" s="16"/>
      <c r="N24" s="17"/>
    </row>
    <row r="25" spans="1:14" x14ac:dyDescent="0.2">
      <c r="A25" s="3"/>
      <c r="B25" s="3"/>
      <c r="D25" s="18"/>
      <c r="E25" s="19"/>
      <c r="G25" s="18"/>
      <c r="H25" s="19"/>
      <c r="J25" s="18"/>
      <c r="K25" s="19"/>
      <c r="M25" s="18"/>
      <c r="N25" s="19"/>
    </row>
    <row r="26" spans="1:14" x14ac:dyDescent="0.2">
      <c r="A26" s="3"/>
      <c r="B26" s="3"/>
      <c r="D26" s="18"/>
      <c r="E26" s="19"/>
      <c r="G26" s="18"/>
      <c r="H26" s="19"/>
      <c r="J26" s="18"/>
      <c r="K26" s="19"/>
      <c r="M26" s="18"/>
      <c r="N26" s="19"/>
    </row>
    <row r="27" spans="1:14" x14ac:dyDescent="0.2">
      <c r="A27" s="3"/>
      <c r="B27" s="3"/>
      <c r="D27" s="18"/>
      <c r="E27" s="19"/>
      <c r="G27" s="18"/>
      <c r="H27" s="19"/>
      <c r="J27" s="18"/>
      <c r="K27" s="19"/>
      <c r="M27" s="18"/>
      <c r="N27" s="19"/>
    </row>
    <row r="28" spans="1:1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</row>
    <row r="29" spans="1:1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</row>
    <row r="30" spans="1:14" x14ac:dyDescent="0.2">
      <c r="A30" s="3"/>
      <c r="B30" s="3"/>
      <c r="D30" s="3"/>
      <c r="E30" s="3"/>
      <c r="G30" s="3"/>
      <c r="H30" s="3"/>
      <c r="J30" s="3"/>
      <c r="K30" s="3"/>
      <c r="M30" s="3"/>
      <c r="N30" s="3"/>
    </row>
    <row r="31" spans="1:14" x14ac:dyDescent="0.2">
      <c r="A31" s="3"/>
      <c r="B31" s="3"/>
      <c r="D31" s="3"/>
      <c r="E31" s="3"/>
      <c r="G31" s="3"/>
      <c r="H31" s="3"/>
      <c r="J31" s="3"/>
      <c r="K31" s="3"/>
      <c r="M31" s="3"/>
      <c r="N31" s="3"/>
    </row>
    <row r="32" spans="1:14" x14ac:dyDescent="0.2">
      <c r="A32" s="3"/>
      <c r="B32" s="3"/>
      <c r="D32" s="3"/>
      <c r="E32" s="3"/>
      <c r="G32" s="3"/>
      <c r="H32" s="3"/>
      <c r="J32" s="3"/>
      <c r="K32" s="3"/>
      <c r="M32" s="3"/>
      <c r="N32" s="3"/>
    </row>
    <row r="33" spans="1:14" x14ac:dyDescent="0.2">
      <c r="A33" s="3"/>
      <c r="B33" s="3"/>
      <c r="D33" s="3"/>
      <c r="E33" s="3"/>
      <c r="G33" s="3"/>
      <c r="H33" s="3"/>
      <c r="J33" s="3"/>
      <c r="K33" s="3"/>
      <c r="M33" s="3"/>
      <c r="N33" s="3"/>
    </row>
    <row r="34" spans="1:14" x14ac:dyDescent="0.2">
      <c r="A34" s="3"/>
      <c r="B34" s="3"/>
      <c r="D34" s="3"/>
      <c r="E34" s="3"/>
      <c r="G34" s="3"/>
      <c r="H34" s="3"/>
      <c r="J34" s="3"/>
      <c r="K34" s="3"/>
      <c r="M34" s="3"/>
      <c r="N34" s="3"/>
    </row>
    <row r="35" spans="1:14" x14ac:dyDescent="0.2">
      <c r="A35" s="3"/>
      <c r="B35" s="3"/>
      <c r="D35" s="3"/>
      <c r="E35" s="3"/>
      <c r="G35" s="3"/>
      <c r="H35" s="3"/>
      <c r="J35" s="3"/>
      <c r="K35" s="3"/>
      <c r="M35" s="3"/>
      <c r="N35" s="3"/>
    </row>
    <row r="36" spans="1:14" x14ac:dyDescent="0.2">
      <c r="A36" s="3"/>
      <c r="B36" s="3"/>
      <c r="D36" s="3"/>
      <c r="E36" s="3"/>
      <c r="G36" s="3"/>
      <c r="H36" s="3"/>
      <c r="J36" s="3"/>
      <c r="K36" s="3"/>
      <c r="M36" s="3"/>
      <c r="N36" s="3"/>
    </row>
    <row r="37" spans="1:14" x14ac:dyDescent="0.2">
      <c r="A37" s="3"/>
      <c r="B37" s="3"/>
      <c r="D37" s="3"/>
      <c r="E37" s="3"/>
      <c r="G37" s="3"/>
      <c r="H37" s="3"/>
      <c r="J37" s="3"/>
      <c r="K37" s="3"/>
      <c r="M37" s="3"/>
      <c r="N37" s="3"/>
    </row>
    <row r="38" spans="1:14" x14ac:dyDescent="0.2">
      <c r="A38" s="3"/>
      <c r="B38" s="3"/>
      <c r="D38" s="3"/>
      <c r="E38" s="3"/>
      <c r="G38" s="3"/>
      <c r="H38" s="3"/>
      <c r="J38" s="3"/>
      <c r="K38" s="3"/>
      <c r="M38" s="3"/>
      <c r="N38" s="3"/>
    </row>
  </sheetData>
  <mergeCells count="10">
    <mergeCell ref="A22:B22"/>
    <mergeCell ref="D22:E22"/>
    <mergeCell ref="G22:H22"/>
    <mergeCell ref="J22:K22"/>
    <mergeCell ref="M22:N22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1:X28"/>
  <sheetViews>
    <sheetView showGridLines="0" zoomScale="140" zoomScaleNormal="140" workbookViewId="0">
      <selection activeCell="T7" sqref="T7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23" max="23" width="10.83203125" style="1"/>
  </cols>
  <sheetData>
    <row r="1" spans="1:24" x14ac:dyDescent="0.2">
      <c r="J1" s="1"/>
      <c r="K1" s="1"/>
      <c r="P1" s="1"/>
      <c r="Q1" s="1"/>
    </row>
    <row r="2" spans="1:24" x14ac:dyDescent="0.2">
      <c r="C2" s="43" t="s">
        <v>57</v>
      </c>
      <c r="D2" s="43"/>
      <c r="E2" s="43"/>
      <c r="F2" s="43"/>
      <c r="G2" s="43"/>
      <c r="H2" s="43"/>
      <c r="I2" s="43"/>
      <c r="J2" s="43"/>
      <c r="K2" s="1"/>
      <c r="L2" s="43" t="s">
        <v>58</v>
      </c>
      <c r="M2" s="43"/>
      <c r="N2" s="43"/>
      <c r="O2" s="43"/>
      <c r="P2" s="43"/>
      <c r="Q2" s="43"/>
      <c r="R2" s="43" t="s">
        <v>107</v>
      </c>
      <c r="S2" s="43"/>
      <c r="T2" s="43"/>
      <c r="U2" s="43"/>
      <c r="V2" s="43"/>
      <c r="W2" s="43" t="s">
        <v>125</v>
      </c>
      <c r="X2" s="43"/>
    </row>
    <row r="3" spans="1:24" x14ac:dyDescent="0.2">
      <c r="A3" s="20" t="s">
        <v>19</v>
      </c>
      <c r="B3" s="20" t="s">
        <v>79</v>
      </c>
      <c r="C3" s="29" t="s">
        <v>52</v>
      </c>
      <c r="D3" s="21" t="s">
        <v>67</v>
      </c>
      <c r="E3" s="21" t="s">
        <v>53</v>
      </c>
      <c r="F3" s="29" t="s">
        <v>51</v>
      </c>
      <c r="G3" s="21" t="s">
        <v>74</v>
      </c>
      <c r="H3" s="21" t="s">
        <v>73</v>
      </c>
      <c r="I3" s="21" t="s">
        <v>81</v>
      </c>
      <c r="J3" s="29" t="s">
        <v>82</v>
      </c>
      <c r="K3" s="21" t="s">
        <v>100</v>
      </c>
      <c r="L3" s="22" t="s">
        <v>54</v>
      </c>
      <c r="M3" s="22" t="s">
        <v>55</v>
      </c>
      <c r="N3" s="23" t="s">
        <v>56</v>
      </c>
      <c r="O3" s="22" t="s">
        <v>75</v>
      </c>
      <c r="P3" s="22" t="s">
        <v>83</v>
      </c>
      <c r="Q3" s="23" t="s">
        <v>84</v>
      </c>
      <c r="R3" s="28" t="s">
        <v>104</v>
      </c>
      <c r="S3" s="28" t="s">
        <v>105</v>
      </c>
      <c r="T3" s="28" t="s">
        <v>106</v>
      </c>
      <c r="U3" s="28" t="s">
        <v>116</v>
      </c>
      <c r="V3" s="28" t="s">
        <v>117</v>
      </c>
      <c r="W3" s="33" t="s">
        <v>126</v>
      </c>
      <c r="X3" s="34" t="s">
        <v>127</v>
      </c>
    </row>
    <row r="4" spans="1:24" x14ac:dyDescent="0.2">
      <c r="A4" s="3">
        <v>1</v>
      </c>
      <c r="B4" s="3" t="s">
        <v>139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v>1</v>
      </c>
      <c r="S4" s="3">
        <v>1</v>
      </c>
      <c r="T4" s="3">
        <v>0</v>
      </c>
      <c r="U4" s="3">
        <v>0.01</v>
      </c>
      <c r="V4" s="3">
        <v>-1</v>
      </c>
      <c r="W4" s="3"/>
      <c r="X4" s="4"/>
    </row>
    <row r="5" spans="1:24" x14ac:dyDescent="0.2">
      <c r="A5" s="3">
        <v>2</v>
      </c>
      <c r="B5" s="3" t="s">
        <v>140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v>1E-3</v>
      </c>
      <c r="S5" s="3">
        <v>1E-3</v>
      </c>
      <c r="T5" s="3">
        <v>0</v>
      </c>
      <c r="U5" s="3">
        <v>0.01</v>
      </c>
      <c r="V5" s="3">
        <v>-1</v>
      </c>
      <c r="W5" s="3"/>
      <c r="X5" s="4"/>
    </row>
    <row r="6" spans="1:24" x14ac:dyDescent="0.2">
      <c r="A6" s="3">
        <v>3</v>
      </c>
      <c r="B6" s="3" t="s">
        <v>141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v>0.1</v>
      </c>
      <c r="S6" s="3">
        <v>0.1</v>
      </c>
      <c r="T6" s="3">
        <v>0</v>
      </c>
      <c r="U6" s="3">
        <v>0.01</v>
      </c>
      <c r="V6" s="3">
        <v>-1</v>
      </c>
      <c r="W6" s="3"/>
      <c r="X6" s="4"/>
    </row>
    <row r="7" spans="1:24" x14ac:dyDescent="0.2">
      <c r="A7" s="3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4"/>
    </row>
    <row r="8" spans="1:24" x14ac:dyDescent="0.2">
      <c r="A8" s="3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</row>
    <row r="9" spans="1:24" x14ac:dyDescent="0.2">
      <c r="A9" s="3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4"/>
    </row>
    <row r="10" spans="1:24" x14ac:dyDescent="0.2">
      <c r="A10" s="3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4"/>
    </row>
    <row r="11" spans="1:24" x14ac:dyDescent="0.2">
      <c r="A11" s="3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4"/>
    </row>
    <row r="12" spans="1:24" x14ac:dyDescent="0.2">
      <c r="A12" s="3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4"/>
    </row>
    <row r="13" spans="1:24" x14ac:dyDescent="0.2">
      <c r="A13" s="3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4"/>
    </row>
    <row r="14" spans="1:24" x14ac:dyDescent="0.2">
      <c r="A14" s="3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4"/>
    </row>
    <row r="15" spans="1:24" x14ac:dyDescent="0.2">
      <c r="A15" s="3">
        <v>12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4"/>
    </row>
    <row r="18" spans="3:23" x14ac:dyDescent="0.2">
      <c r="C18" t="s">
        <v>59</v>
      </c>
      <c r="D18"/>
      <c r="E18"/>
      <c r="F18"/>
      <c r="K18" s="6" t="s">
        <v>119</v>
      </c>
      <c r="W18" s="5"/>
    </row>
    <row r="19" spans="3:23" x14ac:dyDescent="0.2">
      <c r="C19" s="24" t="s">
        <v>85</v>
      </c>
      <c r="D19"/>
      <c r="E19"/>
      <c r="F19"/>
      <c r="K19" s="14" t="s">
        <v>120</v>
      </c>
      <c r="L19" s="44" t="s">
        <v>123</v>
      </c>
      <c r="M19" s="44"/>
      <c r="N19" s="44"/>
      <c r="O19" s="44"/>
      <c r="P19" s="44"/>
      <c r="Q19" s="44"/>
    </row>
    <row r="20" spans="3:23" x14ac:dyDescent="0.2">
      <c r="C20"/>
      <c r="D20"/>
      <c r="E20"/>
      <c r="F20"/>
      <c r="K20" s="14" t="s">
        <v>122</v>
      </c>
      <c r="L20" s="44" t="s">
        <v>124</v>
      </c>
      <c r="M20" s="44"/>
      <c r="N20" s="44"/>
      <c r="O20" s="44"/>
      <c r="P20" s="44"/>
      <c r="Q20" s="44"/>
    </row>
    <row r="21" spans="3:23" x14ac:dyDescent="0.2">
      <c r="C21" s="6" t="s">
        <v>69</v>
      </c>
      <c r="D21"/>
      <c r="E21"/>
      <c r="F21"/>
      <c r="K21" s="14" t="s">
        <v>121</v>
      </c>
      <c r="L21" s="44"/>
      <c r="M21" s="44"/>
      <c r="N21" s="44"/>
      <c r="O21" s="44"/>
      <c r="P21" s="44"/>
      <c r="Q21" s="44"/>
    </row>
    <row r="22" spans="3:23" x14ac:dyDescent="0.2">
      <c r="C22" s="1" t="s">
        <v>68</v>
      </c>
      <c r="D22" t="s">
        <v>70</v>
      </c>
      <c r="E22"/>
      <c r="F22"/>
    </row>
    <row r="23" spans="3:23" x14ac:dyDescent="0.2">
      <c r="C23" s="1" t="s">
        <v>71</v>
      </c>
      <c r="D23" t="s">
        <v>72</v>
      </c>
      <c r="E23"/>
      <c r="F23"/>
    </row>
    <row r="24" spans="3:23" x14ac:dyDescent="0.2">
      <c r="C24"/>
      <c r="D24"/>
      <c r="E24"/>
      <c r="F24"/>
    </row>
    <row r="25" spans="3:23" x14ac:dyDescent="0.2">
      <c r="C25" s="6" t="s">
        <v>99</v>
      </c>
      <c r="D25"/>
      <c r="E25"/>
      <c r="F25"/>
    </row>
    <row r="26" spans="3:23" x14ac:dyDescent="0.2">
      <c r="C26" s="1" t="s">
        <v>102</v>
      </c>
      <c r="D26" t="s">
        <v>60</v>
      </c>
      <c r="E26"/>
      <c r="F26"/>
    </row>
    <row r="27" spans="3:23" x14ac:dyDescent="0.2">
      <c r="C27" s="1" t="s">
        <v>21</v>
      </c>
      <c r="D27" t="s">
        <v>61</v>
      </c>
      <c r="E27"/>
      <c r="F27"/>
    </row>
    <row r="28" spans="3:23" x14ac:dyDescent="0.2">
      <c r="C28" s="1" t="s">
        <v>103</v>
      </c>
      <c r="D28" s="9" t="s">
        <v>101</v>
      </c>
    </row>
  </sheetData>
  <mergeCells count="7">
    <mergeCell ref="W2:X2"/>
    <mergeCell ref="R2:V2"/>
    <mergeCell ref="C2:J2"/>
    <mergeCell ref="L21:Q21"/>
    <mergeCell ref="L20:Q20"/>
    <mergeCell ref="L19:Q19"/>
    <mergeCell ref="L2:Q2"/>
  </mergeCells>
  <conditionalFormatting sqref="E4:F15">
    <cfRule type="expression" dxfId="7" priority="2">
      <formula>$D4="cp"</formula>
    </cfRule>
  </conditionalFormatting>
  <conditionalFormatting sqref="G4:H7 G8:J15">
    <cfRule type="expression" dxfId="6" priority="9">
      <formula>$D4="mc"</formula>
    </cfRule>
  </conditionalFormatting>
  <conditionalFormatting sqref="I4:J7">
    <cfRule type="expression" dxfId="5" priority="1">
      <formula>$D4="cp"</formula>
    </cfRule>
  </conditionalFormatting>
  <conditionalFormatting sqref="M4:N15">
    <cfRule type="expression" dxfId="4" priority="7">
      <formula>$D4="cp"</formula>
    </cfRule>
  </conditionalFormatting>
  <conditionalFormatting sqref="O4:O15">
    <cfRule type="expression" dxfId="3" priority="8">
      <formula>$D4="mc"</formula>
    </cfRule>
  </conditionalFormatting>
  <conditionalFormatting sqref="P4:Q7">
    <cfRule type="expression" dxfId="2" priority="4">
      <formula>$D4="cp"</formula>
    </cfRule>
  </conditionalFormatting>
  <conditionalFormatting sqref="P8:Q15">
    <cfRule type="expression" dxfId="1" priority="5">
      <formula>$D8="mc"</formula>
    </cfRule>
  </conditionalFormatting>
  <conditionalFormatting sqref="R4:V15">
    <cfRule type="expression" dxfId="0" priority="3">
      <formula>$D4="cp"</formula>
    </cfRule>
  </conditionalFormatting>
  <dataValidations count="2">
    <dataValidation type="list" allowBlank="1" showInputMessage="1" showErrorMessage="1" sqref="D4:D15" xr:uid="{EE18A772-4B35-664E-B682-D915CEF97058}">
      <formula1>$C$22:$C$23</formula1>
    </dataValidation>
    <dataValidation type="list" allowBlank="1" showInputMessage="1" showErrorMessage="1" sqref="K4:K15" xr:uid="{829D28B8-D45C-5648-988B-473A68569983}">
      <formula1>$C$26:$C$28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E20"/>
  <sheetViews>
    <sheetView showGridLines="0" zoomScale="150" zoomScaleNormal="150" workbookViewId="0">
      <selection activeCell="F9" sqref="F9"/>
    </sheetView>
  </sheetViews>
  <sheetFormatPr baseColWidth="10" defaultRowHeight="16" x14ac:dyDescent="0.2"/>
  <cols>
    <col min="3" max="3" width="7" customWidth="1"/>
  </cols>
  <sheetData>
    <row r="2" spans="1:5" x14ac:dyDescent="0.2">
      <c r="A2" s="45" t="s">
        <v>88</v>
      </c>
      <c r="B2" s="45"/>
      <c r="D2" s="46" t="s">
        <v>86</v>
      </c>
      <c r="E2" s="46"/>
    </row>
    <row r="3" spans="1:5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5" x14ac:dyDescent="0.2">
      <c r="A4" s="3"/>
      <c r="B4" s="3"/>
      <c r="D4" s="3"/>
      <c r="E4" s="3"/>
    </row>
    <row r="5" spans="1:5" x14ac:dyDescent="0.2">
      <c r="A5" s="3"/>
      <c r="B5" s="3"/>
      <c r="D5" s="3"/>
      <c r="E5" s="3"/>
    </row>
    <row r="6" spans="1:5" x14ac:dyDescent="0.2">
      <c r="A6" s="3"/>
      <c r="B6" s="3"/>
      <c r="D6" s="3"/>
      <c r="E6" s="3"/>
    </row>
    <row r="7" spans="1:5" x14ac:dyDescent="0.2">
      <c r="A7" s="3"/>
      <c r="B7" s="3"/>
      <c r="D7" s="3"/>
      <c r="E7" s="3"/>
    </row>
    <row r="8" spans="1:5" x14ac:dyDescent="0.2">
      <c r="A8" s="3"/>
      <c r="B8" s="3"/>
      <c r="D8" s="3"/>
      <c r="E8" s="3"/>
    </row>
    <row r="9" spans="1:5" x14ac:dyDescent="0.2">
      <c r="A9" s="3"/>
      <c r="B9" s="3"/>
      <c r="D9" s="3"/>
      <c r="E9" s="3"/>
    </row>
    <row r="10" spans="1:5" x14ac:dyDescent="0.2">
      <c r="A10" s="3"/>
      <c r="B10" s="3"/>
      <c r="D10" s="3"/>
      <c r="E10" s="3"/>
    </row>
    <row r="11" spans="1:5" x14ac:dyDescent="0.2">
      <c r="A11" s="3"/>
      <c r="B11" s="3"/>
      <c r="D11" s="3"/>
      <c r="E11" s="3"/>
    </row>
    <row r="12" spans="1:5" x14ac:dyDescent="0.2">
      <c r="A12" s="4"/>
      <c r="B12" s="4"/>
      <c r="D12" s="4"/>
      <c r="E12" s="4"/>
    </row>
    <row r="13" spans="1:5" x14ac:dyDescent="0.2">
      <c r="A13" s="4"/>
      <c r="B13" s="4"/>
      <c r="D13" s="4"/>
      <c r="E13" s="4"/>
    </row>
    <row r="14" spans="1:5" x14ac:dyDescent="0.2">
      <c r="A14" s="4"/>
      <c r="B14" s="4"/>
      <c r="D14" s="4"/>
      <c r="E14" s="4"/>
    </row>
    <row r="15" spans="1:5" x14ac:dyDescent="0.2">
      <c r="A15" s="4"/>
      <c r="B15" s="4"/>
      <c r="D15" s="4"/>
      <c r="E15" s="4"/>
    </row>
    <row r="16" spans="1:5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20" spans="1:5" x14ac:dyDescent="0.2">
      <c r="D20" s="25" t="s">
        <v>87</v>
      </c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D16" sqref="D16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62</v>
      </c>
      <c r="C2" s="13" t="s">
        <v>63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65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64</v>
      </c>
      <c r="K5" t="s">
        <v>66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dataValidations count="2">
    <dataValidation type="list" allowBlank="1" showInputMessage="1" showErrorMessage="1" sqref="D5:D12" xr:uid="{06E9E004-FC39-FE49-926A-912F810F5089}">
      <formula1>$J$3:$J$5</formula1>
    </dataValidation>
    <dataValidation type="list" allowBlank="1" showInputMessage="1" showErrorMessage="1" sqref="D3:D4" xr:uid="{EED2B092-B8BF-DE44-9714-123D614E8073}">
      <formula1>$J$5:$J$7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17"/>
  <sheetViews>
    <sheetView showGridLines="0" zoomScale="140" zoomScaleNormal="140" workbookViewId="0">
      <selection activeCell="H20" sqref="H20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77</v>
      </c>
      <c r="F5" t="s">
        <v>78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</sheetData>
  <dataValidations count="1">
    <dataValidation type="list" allowBlank="1" showInputMessage="1" showErrorMessage="1" sqref="C3:C17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P29"/>
  <sheetViews>
    <sheetView showGridLines="0" zoomScale="140" zoomScaleNormal="140" workbookViewId="0">
      <selection activeCell="R10" sqref="R10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</cols>
  <sheetData>
    <row r="2" spans="2:16" x14ac:dyDescent="0.2">
      <c r="B2" s="47" t="s">
        <v>89</v>
      </c>
      <c r="C2" s="47"/>
      <c r="D2" s="47"/>
      <c r="F2" s="47" t="s">
        <v>90</v>
      </c>
      <c r="G2" s="47"/>
      <c r="H2" s="47"/>
      <c r="J2" s="47" t="s">
        <v>91</v>
      </c>
      <c r="K2" s="47"/>
      <c r="L2" s="47"/>
      <c r="N2" s="47" t="s">
        <v>92</v>
      </c>
      <c r="O2" s="47"/>
      <c r="P2" s="47"/>
    </row>
    <row r="3" spans="2:16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</row>
    <row r="4" spans="2:16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</row>
    <row r="5" spans="2:16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</row>
    <row r="6" spans="2:16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</row>
    <row r="7" spans="2:16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</row>
    <row r="8" spans="2:16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</row>
    <row r="9" spans="2:16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</row>
    <row r="10" spans="2:16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</row>
    <row r="11" spans="2:16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</row>
    <row r="12" spans="2:16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</row>
    <row r="13" spans="2:16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</row>
    <row r="15" spans="2:16" x14ac:dyDescent="0.2">
      <c r="B15" s="48" t="s">
        <v>93</v>
      </c>
      <c r="C15" s="48"/>
      <c r="D15" s="48"/>
      <c r="F15" s="48" t="s">
        <v>94</v>
      </c>
      <c r="G15" s="48"/>
      <c r="H15" s="48"/>
      <c r="J15" s="48" t="s">
        <v>95</v>
      </c>
      <c r="K15" s="48"/>
      <c r="L15" s="48"/>
      <c r="N15" s="48" t="s">
        <v>96</v>
      </c>
      <c r="O15" s="48"/>
      <c r="P15" s="48"/>
    </row>
    <row r="16" spans="2:16" x14ac:dyDescent="0.2">
      <c r="B16" s="2" t="s">
        <v>0</v>
      </c>
      <c r="C16" s="2" t="s">
        <v>1</v>
      </c>
      <c r="D16" s="2" t="s">
        <v>45</v>
      </c>
      <c r="F16" s="2" t="s">
        <v>0</v>
      </c>
      <c r="G16" s="2" t="s">
        <v>1</v>
      </c>
      <c r="H16" s="2" t="s">
        <v>45</v>
      </c>
      <c r="J16" s="2" t="s">
        <v>0</v>
      </c>
      <c r="K16" s="2" t="s">
        <v>1</v>
      </c>
      <c r="L16" s="2" t="s">
        <v>45</v>
      </c>
      <c r="N16" s="2" t="s">
        <v>0</v>
      </c>
      <c r="O16" s="2" t="s">
        <v>1</v>
      </c>
      <c r="P16" s="2" t="s">
        <v>45</v>
      </c>
    </row>
    <row r="17" spans="2:16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</row>
    <row r="18" spans="2:16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</row>
    <row r="19" spans="2:16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</row>
    <row r="20" spans="2:16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</row>
    <row r="21" spans="2:16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</row>
    <row r="22" spans="2:16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</row>
    <row r="23" spans="2:16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</row>
    <row r="24" spans="2:16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</row>
    <row r="25" spans="2:16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</row>
    <row r="26" spans="2:16" x14ac:dyDescent="0.2">
      <c r="B26" s="3"/>
      <c r="C26" s="3"/>
      <c r="D26" s="3"/>
      <c r="F26" s="3"/>
      <c r="G26" s="3"/>
      <c r="H26" s="3"/>
      <c r="J26" s="3"/>
      <c r="K26" s="3"/>
      <c r="L26" s="3"/>
      <c r="N26" s="3"/>
      <c r="O26" s="3"/>
      <c r="P26" s="3"/>
    </row>
    <row r="28" spans="2:16" x14ac:dyDescent="0.2">
      <c r="B28" s="26" t="s">
        <v>97</v>
      </c>
    </row>
    <row r="29" spans="2:16" x14ac:dyDescent="0.2">
      <c r="B29" s="27" t="s">
        <v>98</v>
      </c>
    </row>
  </sheetData>
  <mergeCells count="8">
    <mergeCell ref="B2:D2"/>
    <mergeCell ref="F2:H2"/>
    <mergeCell ref="J2:L2"/>
    <mergeCell ref="N2:P2"/>
    <mergeCell ref="B15:D15"/>
    <mergeCell ref="F15:H15"/>
    <mergeCell ref="J15:L15"/>
    <mergeCell ref="N15:P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K25"/>
  <sheetViews>
    <sheetView showGridLines="0" zoomScale="140" zoomScaleNormal="140" workbookViewId="0">
      <selection activeCell="H16" sqref="H16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128</v>
      </c>
      <c r="C2" s="12" t="s">
        <v>129</v>
      </c>
      <c r="D2" s="12" t="s">
        <v>130</v>
      </c>
      <c r="E2" s="12" t="s">
        <v>131</v>
      </c>
      <c r="F2" s="36" t="s">
        <v>133</v>
      </c>
      <c r="G2" s="37" t="s">
        <v>138</v>
      </c>
      <c r="H2" s="36" t="s">
        <v>136</v>
      </c>
      <c r="I2" s="36" t="s">
        <v>137</v>
      </c>
      <c r="J2" s="37" t="s">
        <v>126</v>
      </c>
      <c r="K2" s="37" t="s">
        <v>132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1" x14ac:dyDescent="0.2">
      <c r="F24" s="35"/>
      <c r="G24" s="9" t="s">
        <v>135</v>
      </c>
      <c r="H24" s="9"/>
      <c r="I24" s="9"/>
    </row>
    <row r="25" spans="1:11" x14ac:dyDescent="0.2">
      <c r="F25" s="38"/>
      <c r="G25" s="9" t="s">
        <v>134</v>
      </c>
      <c r="H25" s="9"/>
      <c r="I25" s="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I23"/>
  <sheetViews>
    <sheetView showGridLines="0" zoomScale="140" zoomScaleNormal="140" workbookViewId="0">
      <selection activeCell="F17" sqref="F17"/>
    </sheetView>
  </sheetViews>
  <sheetFormatPr baseColWidth="10" defaultRowHeight="16" x14ac:dyDescent="0.2"/>
  <cols>
    <col min="1" max="1" width="3" customWidth="1"/>
    <col min="4" max="4" width="4" customWidth="1"/>
    <col min="7" max="7" width="4.33203125" customWidth="1"/>
  </cols>
  <sheetData>
    <row r="2" spans="2:9" x14ac:dyDescent="0.2">
      <c r="B2" s="45" t="s">
        <v>110</v>
      </c>
      <c r="C2" s="45"/>
      <c r="E2" s="45" t="s">
        <v>111</v>
      </c>
      <c r="F2" s="45"/>
      <c r="H2" s="45" t="s">
        <v>112</v>
      </c>
      <c r="I2" s="45"/>
    </row>
    <row r="3" spans="2:9" x14ac:dyDescent="0.2">
      <c r="B3" s="2" t="s">
        <v>109</v>
      </c>
      <c r="C3" s="31">
        <v>160</v>
      </c>
      <c r="E3" s="2" t="s">
        <v>109</v>
      </c>
      <c r="F3" s="31">
        <v>100</v>
      </c>
      <c r="H3" s="2" t="s">
        <v>109</v>
      </c>
      <c r="I3" s="31"/>
    </row>
    <row r="4" spans="2:9" x14ac:dyDescent="0.2">
      <c r="B4" s="32" t="s">
        <v>3</v>
      </c>
      <c r="C4" s="32" t="s">
        <v>4</v>
      </c>
      <c r="E4" s="32" t="s">
        <v>3</v>
      </c>
      <c r="F4" s="32" t="s">
        <v>4</v>
      </c>
      <c r="H4" s="32" t="s">
        <v>3</v>
      </c>
      <c r="I4" s="32" t="s">
        <v>4</v>
      </c>
    </row>
    <row r="5" spans="2:9" x14ac:dyDescent="0.2">
      <c r="B5" s="3">
        <v>0</v>
      </c>
      <c r="C5" s="3">
        <v>100</v>
      </c>
      <c r="E5" s="3">
        <v>550</v>
      </c>
      <c r="F5" s="3">
        <v>100</v>
      </c>
      <c r="H5" s="3"/>
      <c r="I5" s="3"/>
    </row>
    <row r="6" spans="2:9" x14ac:dyDescent="0.2">
      <c r="B6" s="3">
        <v>200</v>
      </c>
      <c r="C6" s="3">
        <v>100</v>
      </c>
      <c r="E6" s="3">
        <v>750</v>
      </c>
      <c r="F6" s="3">
        <v>100</v>
      </c>
      <c r="H6" s="3"/>
      <c r="I6" s="3"/>
    </row>
    <row r="7" spans="2:9" x14ac:dyDescent="0.2">
      <c r="B7" s="3">
        <v>320</v>
      </c>
      <c r="C7" s="3">
        <v>160</v>
      </c>
      <c r="E7" s="3"/>
      <c r="F7" s="3"/>
      <c r="H7" s="3"/>
      <c r="I7" s="3"/>
    </row>
    <row r="8" spans="2:9" x14ac:dyDescent="0.2">
      <c r="B8" s="3"/>
      <c r="C8" s="3"/>
      <c r="E8" s="3"/>
      <c r="F8" s="3"/>
      <c r="H8" s="3"/>
      <c r="I8" s="3"/>
    </row>
    <row r="9" spans="2:9" x14ac:dyDescent="0.2">
      <c r="B9" s="3"/>
      <c r="C9" s="3"/>
      <c r="E9" s="3"/>
      <c r="F9" s="3"/>
      <c r="H9" s="3"/>
      <c r="I9" s="3"/>
    </row>
    <row r="10" spans="2:9" x14ac:dyDescent="0.2">
      <c r="B10" s="3"/>
      <c r="C10" s="3"/>
      <c r="E10" s="3"/>
      <c r="F10" s="3"/>
      <c r="H10" s="3"/>
      <c r="I10" s="3"/>
    </row>
    <row r="11" spans="2:9" x14ac:dyDescent="0.2">
      <c r="B11" s="3"/>
      <c r="C11" s="3"/>
      <c r="E11" s="3"/>
      <c r="F11" s="3"/>
      <c r="H11" s="3"/>
      <c r="I11" s="3"/>
    </row>
    <row r="12" spans="2:9" x14ac:dyDescent="0.2">
      <c r="B12" s="3"/>
      <c r="C12" s="3"/>
      <c r="E12" s="3"/>
      <c r="F12" s="3"/>
      <c r="H12" s="3"/>
      <c r="I12" s="3"/>
    </row>
    <row r="14" spans="2:9" x14ac:dyDescent="0.2">
      <c r="B14" s="49" t="s">
        <v>113</v>
      </c>
      <c r="C14" s="49"/>
    </row>
    <row r="15" spans="2:9" x14ac:dyDescent="0.2">
      <c r="B15" s="32" t="s">
        <v>3</v>
      </c>
      <c r="C15" s="32" t="s">
        <v>4</v>
      </c>
    </row>
    <row r="16" spans="2:9" x14ac:dyDescent="0.2">
      <c r="B16" s="3">
        <v>380</v>
      </c>
      <c r="C16" s="3">
        <v>180</v>
      </c>
    </row>
    <row r="17" spans="2:3" x14ac:dyDescent="0.2">
      <c r="B17" s="3">
        <v>550</v>
      </c>
      <c r="C17" s="3">
        <v>100</v>
      </c>
    </row>
    <row r="18" spans="2:3" x14ac:dyDescent="0.2">
      <c r="B18" s="3"/>
      <c r="C18" s="3"/>
    </row>
    <row r="19" spans="2:3" x14ac:dyDescent="0.2">
      <c r="B19" s="3"/>
      <c r="C19" s="3"/>
    </row>
    <row r="20" spans="2:3" x14ac:dyDescent="0.2">
      <c r="B20" s="3"/>
      <c r="C20" s="3"/>
    </row>
    <row r="21" spans="2:3" x14ac:dyDescent="0.2">
      <c r="B21" s="3"/>
      <c r="C21" s="3"/>
    </row>
    <row r="22" spans="2:3" x14ac:dyDescent="0.2">
      <c r="B22" s="3"/>
      <c r="C22" s="3"/>
    </row>
    <row r="23" spans="2:3" x14ac:dyDescent="0.2">
      <c r="B23" s="3"/>
      <c r="C23" s="3"/>
    </row>
  </sheetData>
  <mergeCells count="4">
    <mergeCell ref="H2:I2"/>
    <mergeCell ref="B14:C14"/>
    <mergeCell ref="B2:C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main</vt:lpstr>
      <vt:lpstr>plot</vt:lpstr>
      <vt:lpstr>profile</vt:lpstr>
      <vt:lpstr>mat</vt:lpstr>
      <vt:lpstr>piezo</vt:lpstr>
      <vt:lpstr>circles</vt:lpstr>
      <vt:lpstr>non-circ</vt:lpstr>
      <vt:lpstr>dloads</vt:lpstr>
      <vt:lpstr>reinforce</vt:lpstr>
      <vt:lpstr>seep bc</vt:lpstr>
      <vt:lpstr>crack_depth</vt:lpstr>
      <vt:lpstr>crack_depth_water</vt:lpstr>
      <vt:lpstr>gamma_w</vt:lpstr>
      <vt:lpstr>k</vt:lpstr>
      <vt:lpstr>max_depth</vt:lpstr>
      <vt:lpstr>mesh</vt:lpstr>
      <vt:lpstr>solution1</vt:lpstr>
      <vt:lpstr>solution2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2025-11-14T20:47:15Z</dcterms:modified>
</cp:coreProperties>
</file>