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<sst xmlns="http://schemas.openxmlformats.org/spreadsheetml/2006/main" count="602" uniqueCount="319">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</sst>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embankment</t>
        </is>
      </c>
      <c r="C11" s="3">
        <v>125.0</v>
      </c>
      <c r="D11" s="3"/>
      <c r="E11" s="3" t="inlineStr">
        <is>
          <t>mc</t>
        </is>
      </c>
      <c r="F11" s="3">
        <v>250.0</v>
      </c>
      <c r="G11" s="3">
        <v>28.0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silty clay</t>
        </is>
      </c>
      <c r="C12" s="3">
        <v>118.0</v>
      </c>
      <c r="D12" s="3"/>
      <c r="E12" s="3" t="inlineStr">
        <is>
          <t>mc</t>
        </is>
      </c>
      <c r="F12" s="3">
        <v>700.0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dense sand</t>
        </is>
      </c>
      <c r="C13" s="3">
        <v>132.0</v>
      </c>
      <c r="D13" s="3"/>
      <c r="E13" s="3" t="inlineStr">
        <is>
          <t>mc</t>
        </is>
      </c>
      <c r="F13" s="3">
        <v>0.0</v>
      </c>
      <c r="G13" s="3">
        <v>36.0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>embankment</v>
      </c>
      <c r="B6" s="57"/>
      <c r="D6" s="56" t="str">
        <f>_xlfn.XLOOKUP(E5,mat!$A:$A, mat!$B:$B,"") &amp; ""</f>
        <v>silty clay</v>
      </c>
      <c r="E6" s="57"/>
      <c r="G6" s="56" t="str">
        <f>_xlfn.XLOOKUP(H5,mat!$A:$A, mat!$B:$B,"") &amp; ""</f>
        <v>dense sand</v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>embankment</v>
      </c>
      <c r="B7" s="57"/>
      <c r="D7" s="58" t="str">
        <f>IF(OR(E5="",E5="material"),_xlfn.XLOOKUP(E6,mat!$A:$A, mat!$B:$B,"") &amp; "","")</f>
        <v>silty clay</v>
      </c>
      <c r="E7" s="57"/>
      <c r="G7" s="58" t="str">
        <f>IF(OR(H5="",H5="material"),_xlfn.XLOOKUP(H6,mat!$A:$A, mat!$B:$B,"") &amp; "","")</f>
        <v>dense sand</v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>
        <v>-60.0</v>
      </c>
      <c r="E10" s="3">
        <v>0.0</v>
      </c>
      <c r="G10" s="3">
        <v>-60.0</v>
      </c>
      <c r="H10" s="3">
        <v>-15.0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60.0</v>
      </c>
      <c r="B11" s="3">
        <v>30.0</v>
      </c>
      <c r="D11" s="3">
        <v>140.0</v>
      </c>
      <c r="E11" s="3">
        <v>0.0</v>
      </c>
      <c r="G11" s="3">
        <v>140.0</v>
      </c>
      <c r="H11" s="3">
        <v>-15.0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140.0</v>
      </c>
      <c r="B12" s="3">
        <v>30.0</v>
      </c>
      <c r="D12" s="3">
        <v>140.0</v>
      </c>
      <c r="E12" s="3">
        <v>-15.0</v>
      </c>
      <c r="G12" s="3">
        <v>140.0</v>
      </c>
      <c r="H12" s="3">
        <v>-35.0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140.0</v>
      </c>
      <c r="B13" s="3">
        <v>0.0</v>
      </c>
      <c r="D13" s="3">
        <v>-60.0</v>
      </c>
      <c r="E13" s="3">
        <v>-15.0</v>
      </c>
      <c r="G13" s="3">
        <v>-60.0</v>
      </c>
      <c r="H13" s="3">
        <v>-35.0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-60.0</v>
      </c>
      <c r="B5" s="3">
        <v>-4.0</v>
      </c>
      <c r="D5" s="3"/>
      <c r="E5" s="3"/>
      <c r="G5" s="1" t="s">
        <v>18</v>
      </c>
      <c r="H5" t="s">
        <v>190</v>
      </c>
    </row>
    <row r="6" spans="1:8" x14ac:dyDescent="0.2">
      <c r="A6" s="3">
        <v>60.0</v>
      </c>
      <c r="B6" s="3">
        <v>0.0</v>
      </c>
      <c r="D6" s="3"/>
      <c r="E6" s="3"/>
      <c r="G6" s="1" t="s">
        <v>191</v>
      </c>
      <c r="H6" t="s">
        <v>192</v>
      </c>
    </row>
    <row r="7" spans="1:8" x14ac:dyDescent="0.2">
      <c r="A7" s="3">
        <v>140.0</v>
      </c>
      <c r="B7" s="3">
        <v>2.0</v>
      </c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35.0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45.0</v>
      </c>
      <c r="C4" s="3">
        <v>65.0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>
        <v>85.0</v>
      </c>
      <c r="C7" s="3">
        <v>30.0</v>
      </c>
      <c r="D7" s="3">
        <v>600.0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115.0</v>
      </c>
      <c r="C8" s="3">
        <v>30.0</v>
      </c>
      <c r="D8" s="3">
        <v>600.0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263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264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