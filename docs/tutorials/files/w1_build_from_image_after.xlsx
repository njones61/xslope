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<sst xmlns="http://schemas.openxmlformats.org/spreadsheetml/2006/main" count="601" uniqueCount="318">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</sst>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/>
      <c r="AK11" s="3">
        <v>0.0</v>
      </c>
      <c r="AL11" s="3">
        <v>0.0</v>
      </c>
      <c r="AM11" s="3"/>
      <c r="AN11" s="3"/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/>
      <c r="AK12" s="3">
        <v>0.0</v>
      </c>
      <c r="AL12" s="3">
        <v>0.0</v>
      </c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30.0</v>
      </c>
      <c r="B10" s="3">
        <v>10.0</v>
      </c>
      <c r="D10" s="3">
        <v>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60.0</v>
      </c>
      <c r="B11" s="3">
        <v>34.0</v>
      </c>
      <c r="D11" s="3">
        <v>130.0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63.2015621187</v>
      </c>
      <c r="B12" s="3">
        <v>34.0</v>
      </c>
      <c r="D12" s="3">
        <v>130.0</v>
      </c>
      <c r="E12" s="3">
        <v>34.0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33.2015621187</v>
      </c>
      <c r="B13" s="3">
        <v>10.0</v>
      </c>
      <c r="D13" s="3">
        <v>63.2015621187</v>
      </c>
      <c r="E13" s="3">
        <v>34.0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33.2015621187</v>
      </c>
      <c r="E14" s="3">
        <v>10.0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0.0</v>
      </c>
      <c r="E15" s="3">
        <v>10.0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45.0</v>
      </c>
      <c r="C3" s="3">
        <v>58.0</v>
      </c>
      <c r="D3" s="3" t="inlineStr">
        <is>
          <t>Depth</t>
        </is>
      </c>
      <c r="E3" s="3">
        <v>7.7108361573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45.0</v>
      </c>
      <c r="C4" s="3">
        <v>58.0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>
        <v>45.0</v>
      </c>
      <c r="C5" s="3">
        <v>58.0</v>
      </c>
      <c r="D5" s="3" t="inlineStr">
        <is>
          <t>Depth</t>
        </is>
      </c>
      <c r="E5" s="3">
        <v>10.0</v>
      </c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60.0</v>
      </c>
      <c r="C7" s="3">
        <v>34.0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130.0</v>
      </c>
      <c r="C8" s="3">
        <v>34.0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30.0</v>
      </c>
      <c r="D3" s="3">
        <v>10.0</v>
      </c>
      <c r="E3" s="3">
        <v>50.0</v>
      </c>
      <c r="F3" s="3">
        <v>10.0</v>
      </c>
      <c r="G3" s="3" t="inlineStr">
        <is>
          <t>Geosynthetic</t>
        </is>
      </c>
      <c r="H3" s="3" t="str">
        <f>IF($G3="","",IFERROR(VLOOKUP($G3,$AB$8:$AD$11,2,0),""))</f>
        <v/>
      </c>
      <c r="I3" s="3" t="str">
        <f t="shared" ref="I3:I22" si="1">IF($G3="","",IFERROR(VLOOKUP($G3,$AB$8:$AD$11,3,0),""))</f>
        <v/>
      </c>
      <c r="J3" s="3">
        <v>800.0</v>
      </c>
      <c r="K3" s="3">
        <v>4.0</v>
      </c>
      <c r="L3" s="3">
        <v>4.0</v>
      </c>
      <c r="M3" s="3"/>
      <c r="N3" s="3"/>
      <c r="O3" s="3">
        <v>0.0</v>
      </c>
      <c r="P3" s="3">
        <v>0.0</v>
      </c>
      <c r="Q3" s="3">
        <v>1.0</v>
      </c>
      <c r="R3" s="3">
        <v>800.0</v>
      </c>
      <c r="S3" s="3">
        <v>0.0</v>
      </c>
      <c r="T3" s="3">
        <v>0.0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35.0</v>
      </c>
      <c r="D4" s="3">
        <v>14.0</v>
      </c>
      <c r="E4" s="3">
        <v>55.0</v>
      </c>
      <c r="F4" s="3">
        <v>14.0</v>
      </c>
      <c r="G4" s="3" t="inlineStr">
        <is>
          <t>Geosynthetic</t>
        </is>
      </c>
      <c r="H4" s="3" t="str">
        <f>IF($G4="","",IFERROR(VLOOKUP($G4,$AB$8:$AD$11,2,0),""))</f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/>
      <c r="N4" s="3"/>
      <c r="O4" s="3">
        <v>0.0</v>
      </c>
      <c r="P4" s="3">
        <v>0.0</v>
      </c>
      <c r="Q4" s="3">
        <v>1.0</v>
      </c>
      <c r="R4" s="3">
        <v>800.0</v>
      </c>
      <c r="S4" s="3">
        <v>0.0</v>
      </c>
      <c r="T4" s="3">
        <v>0.0</v>
      </c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40.0</v>
      </c>
      <c r="D5" s="3">
        <v>18.0</v>
      </c>
      <c r="E5" s="3">
        <v>60.0</v>
      </c>
      <c r="F5" s="3">
        <v>18.0</v>
      </c>
      <c r="G5" s="3" t="inlineStr">
        <is>
          <t>Geosynthetic</t>
        </is>
      </c>
      <c r="H5" s="3" t="str">
        <f>IF($G5="","",IFERROR(VLOOKUP($G5,$AB$8:$AD$11,2,0),""))</f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/>
      <c r="N5" s="3"/>
      <c r="O5" s="3">
        <v>0.0</v>
      </c>
      <c r="P5" s="3">
        <v>0.0</v>
      </c>
      <c r="Q5" s="3">
        <v>1.0</v>
      </c>
      <c r="R5" s="3">
        <v>800.0</v>
      </c>
      <c r="S5" s="3">
        <v>0.0</v>
      </c>
      <c r="T5" s="3">
        <v>0.0</v>
      </c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45.0</v>
      </c>
      <c r="D6" s="3">
        <v>22.0</v>
      </c>
      <c r="E6" s="3">
        <v>65.0</v>
      </c>
      <c r="F6" s="3">
        <v>22.0</v>
      </c>
      <c r="G6" s="3" t="inlineStr">
        <is>
          <t>Geosynthetic</t>
        </is>
      </c>
      <c r="H6" s="3" t="str">
        <f>IF($G6="","",IFERROR(VLOOKUP($G6,$AB$8:$AD$11,2,0),""))</f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/>
      <c r="N6" s="3"/>
      <c r="O6" s="3">
        <v>0.0</v>
      </c>
      <c r="P6" s="3">
        <v>0.0</v>
      </c>
      <c r="Q6" s="3">
        <v>1.0</v>
      </c>
      <c r="R6" s="3">
        <v>800.0</v>
      </c>
      <c r="S6" s="3">
        <v>0.0</v>
      </c>
      <c r="T6" s="3">
        <v>0.0</v>
      </c>
    </row>
    <row r="7" spans="1:30" x14ac:dyDescent="0.2">
      <c r="A7" s="3">
        <v>5</v>
      </c>
      <c r="B7" s="3" t="inlineStr">
        <is>
          <t>Line 5</t>
        </is>
      </c>
      <c r="C7" s="3">
        <v>50.0</v>
      </c>
      <c r="D7" s="3">
        <v>26.0</v>
      </c>
      <c r="E7" s="3">
        <v>70.0</v>
      </c>
      <c r="F7" s="3">
        <v>26.0</v>
      </c>
      <c r="G7" s="3" t="inlineStr">
        <is>
          <t>Geosynthetic</t>
        </is>
      </c>
      <c r="H7" s="3" t="str">
        <f>IF($G7="","",IFERROR(VLOOKUP($G7,$AB$8:$AD$11,2,0),""))</f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/>
      <c r="N7" s="3"/>
      <c r="O7" s="3">
        <v>0.0</v>
      </c>
      <c r="P7" s="3">
        <v>0.0</v>
      </c>
      <c r="Q7" s="3">
        <v>1.0</v>
      </c>
      <c r="R7" s="3">
        <v>800.0</v>
      </c>
      <c r="S7" s="3">
        <v>0.0</v>
      </c>
      <c r="T7" s="3">
        <v>0.0</v>
      </c>
    </row>
    <row r="8" spans="1:30" x14ac:dyDescent="0.2">
      <c r="A8" s="3">
        <v>6</v>
      </c>
      <c r="B8" s="3" t="inlineStr">
        <is>
          <t>Line 6</t>
        </is>
      </c>
      <c r="C8" s="3">
        <v>55.0</v>
      </c>
      <c r="D8" s="3">
        <v>30.0</v>
      </c>
      <c r="E8" s="3">
        <v>75.0</v>
      </c>
      <c r="F8" s="3">
        <v>30.0</v>
      </c>
      <c r="G8" s="3" t="inlineStr">
        <is>
          <t>Geosynthetic</t>
        </is>
      </c>
      <c r="H8" s="3" t="str">
        <f>IF($G8="","",IFERROR(VLOOKUP($G8,$AB$8:$AD$11,2,0),""))</f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/>
      <c r="N8" s="3"/>
      <c r="O8" s="3">
        <v>0.0</v>
      </c>
      <c r="P8" s="3">
        <v>0.0</v>
      </c>
      <c r="Q8" s="3">
        <v>1.0</v>
      </c>
      <c r="R8" s="3">
        <v>800.0</v>
      </c>
      <c r="S8" s="3">
        <v>0.0</v>
      </c>
      <c r="T8" s="3">
        <v>0.0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IF($G9="","",IFERROR(VLOOKUP($G9,$AB$8:$AD$11,2,0),""))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IF($G10="","",IFERROR(VLOOKUP($G10,$AB$8:$AD$11,2,0),""))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IF($G11="","",IFERROR(VLOOKUP($G11,$AB$8:$AD$11,2,0),""))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IF($G12="","",IFERROR(VLOOKUP($G12,$AB$8:$AD$11,2,0),""))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IF($G13="","",IFERROR(VLOOKUP($G13,$AB$8:$AD$11,2,0),""))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