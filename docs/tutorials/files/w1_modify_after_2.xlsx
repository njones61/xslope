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E12967D2-A998-D342-B5ED-43CABE326A3A}" xr6:coauthVersionLast="47" xr6:coauthVersionMax="47" xr10:uidLastSave="{00000000-0000-0000-0000-000000000000}"/>
  <bookViews>
    <workbookView xWindow="15680" yWindow="478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<sst xmlns="http://schemas.openxmlformats.org/spreadsheetml/2006/main" count="602" uniqueCount="319">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</sst>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26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312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embankment</t>
        </is>
      </c>
      <c r="C11" s="3">
        <v>130.0</v>
      </c>
      <c r="D11" s="3">
        <v>135.0</v>
      </c>
      <c r="E11" s="3" t="inlineStr">
        <is>
          <t>mc</t>
        </is>
      </c>
      <c r="F11" s="3">
        <v>400.0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>
        <v>0.5</v>
      </c>
      <c r="AP11" s="3"/>
      <c r="AQ11" s="3"/>
    </row>
    <row r="12" spans="1:43" x14ac:dyDescent="0.2">
      <c r="A12" s="3">
        <v>2</v>
      </c>
      <c r="B12" s="3" t="inlineStr">
        <is>
          <t>foundation</t>
        </is>
      </c>
      <c r="C12" s="3">
        <v>135.0</v>
      </c>
      <c r="D12" s="3">
        <v>140.0</v>
      </c>
      <c r="E12" s="3" t="inlineStr">
        <is>
          <t>mc</t>
        </is>
      </c>
      <c r="F12" s="3">
        <v>800.0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>
        <v>0.5</v>
      </c>
      <c r="AP12" s="19"/>
      <c r="AQ12" s="19"/>
    </row>
    <row r="13" spans="1:43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O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-10.0</v>
      </c>
      <c r="D2" s="24" t="s">
        <v>146</v>
      </c>
      <c r="N2" s="24" t="s">
        <v>147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>embankment</v>
      </c>
      <c r="B6" s="57"/>
      <c r="D6" s="56" t="str">
        <f>_xlfn.XLOOKUP(E5,mat!$A:$A, mat!$B:$B,"") &amp; ""</f>
        <v>foundation</v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>
        <v>0.0</v>
      </c>
      <c r="B9" s="3">
        <v>0.0</v>
      </c>
      <c r="D9" s="3">
        <v>-50.0</v>
      </c>
      <c r="E9" s="3">
        <v>0.0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60.0</v>
      </c>
      <c r="B10" s="3">
        <v>20.0</v>
      </c>
      <c r="D10" s="3">
        <v>110.0</v>
      </c>
      <c r="E10" s="3">
        <v>0.0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110.0</v>
      </c>
      <c r="B11" s="3">
        <v>20.0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s">
        <v>169</v>
      </c>
      <c r="B4" s="52"/>
      <c r="D4" s="55" t="s">
        <v>170</v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s">
        <v>185</v>
      </c>
      <c r="D5" s="38" t="s">
        <v>184</v>
      </c>
      <c r="E5" s="39" t="s">
        <v>185</v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>embankment</v>
      </c>
      <c r="B7" s="57"/>
      <c r="D7" s="58" t="str">
        <f>IF(OR(E5="",E5="material"),_xlfn.XLOOKUP(E6,mat!$A:$A, mat!$B:$B,"") &amp; "","")</f>
        <v>foundation</v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>
        <v>-50.0</v>
      </c>
      <c r="B5" s="3">
        <v>30.0</v>
      </c>
      <c r="D5" s="3"/>
      <c r="E5" s="3"/>
      <c r="G5" s="1" t="s">
        <v>18</v>
      </c>
      <c r="H5" t="s">
        <v>190</v>
      </c>
    </row>
    <row r="6" spans="1:8" x14ac:dyDescent="0.2">
      <c r="A6" s="3">
        <v>110.0</v>
      </c>
      <c r="B6" s="3">
        <v>30.0</v>
      </c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30.0</v>
      </c>
      <c r="C3" s="3">
        <v>40.0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>
        <v>30.0</v>
      </c>
      <c r="C4" s="3">
        <v>40.0</v>
      </c>
      <c r="D4" s="3" t="inlineStr">
        <is>
          <t>Depth</t>
        </is>
      </c>
      <c r="E4" s="3">
        <v>-10.0</v>
      </c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>
        <v>25.0</v>
      </c>
      <c r="C5" s="3">
        <v>40.0</v>
      </c>
      <c r="D5" s="3" t="inlineStr">
        <is>
          <t>Depth</t>
        </is>
      </c>
      <c r="E5" s="3">
        <v>-7.1699056603</v>
      </c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AB2" t="s">
        <v>257</v>
      </c>
      <c r="AC2" t="s">
        <v>258</v>
      </c>
      <c r="AD2" t="s">
        <v>259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260</v>
      </c>
      <c r="AC3" t="s">
        <v>261</v>
      </c>
      <c r="AD3" t="s">
        <v>262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263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264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257</v>
      </c>
      <c r="AC8" t="s">
        <v>258</v>
      </c>
      <c r="AD8" t="s">
        <v>259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260</v>
      </c>
      <c r="AC9" t="s">
        <v>261</v>
      </c>
      <c r="AD9" t="s">
        <v>262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263</v>
      </c>
      <c r="AC10" t="s">
        <v>261</v>
      </c>
      <c r="AD10" t="s">
        <v>259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264</v>
      </c>
      <c r="AC11" t="s">
        <v>261</v>
      </c>
      <c r="AD11" t="s">
        <v>259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96</v>
      </c>
    </row>
    <row r="25" spans="1:23" x14ac:dyDescent="0.2">
      <c r="K25" s="9"/>
      <c r="L25" s="9"/>
      <c r="V25" s="29"/>
      <c r="W25" s="9" t="s">
        <v>103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2026-09-07T22:01:36Z</dcterms:modified>
</cp:coreProperties>
</file>