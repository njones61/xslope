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<sst xmlns="http://schemas.openxmlformats.org/spreadsheetml/2006/main" count="624" uniqueCount="329">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</sst>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grid-01</t>
        </is>
      </c>
      <c r="C3" s="3">
        <v>9.2</v>
      </c>
      <c r="D3" s="3">
        <v>0.6</v>
      </c>
      <c r="E3" s="3">
        <v>14.2</v>
      </c>
      <c r="F3" s="3">
        <v>0.6</v>
      </c>
      <c r="G3" s="3" t="inlineStr">
        <is>
          <t>Geosynthetic</t>
        </is>
      </c>
      <c r="H3" s="3" t="str">
        <f>IF($G3="","",IFERROR(VLOOKUP($G3,$AH$8:$AJ$11,2,0),""))</f>
        <v>Tangent</v>
      </c>
      <c r="I3" s="3" t="str">
        <f t="shared" ref="I3:I32" si="1">IF($G3="","",IFERROR(VLOOKUP($G3,$AH$8:$AJ$11,3,0),""))</f>
        <v>Active</v>
      </c>
      <c r="J3" s="3">
        <v>40.0</v>
      </c>
      <c r="K3" s="3">
        <v>0.0</v>
      </c>
      <c r="L3" s="3">
        <v>0.0</v>
      </c>
      <c r="M3" s="3">
        <v>1.0</v>
      </c>
      <c r="N3" s="3">
        <v>30.0</v>
      </c>
      <c r="O3" s="3">
        <v>40.0</v>
      </c>
      <c r="P3" s="3">
        <v>0.0</v>
      </c>
      <c r="Q3" s="3">
        <v>1.0</v>
      </c>
      <c r="R3" s="3"/>
      <c r="S3" s="3">
        <v>1000000.0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grid-02</t>
        </is>
      </c>
      <c r="C4" s="3">
        <v>9.2</v>
      </c>
      <c r="D4" s="3">
        <v>1.8</v>
      </c>
      <c r="E4" s="3">
        <v>14.2</v>
      </c>
      <c r="F4" s="3">
        <v>1.8</v>
      </c>
      <c r="G4" s="3" t="inlineStr">
        <is>
          <t>Geosynthetic</t>
        </is>
      </c>
      <c r="H4" s="3" t="str">
        <f>IF($G4="","",IFERROR(VLOOKUP($G4,$AH$8:$AJ$11,2,0),""))</f>
        <v>Tangent</v>
      </c>
      <c r="I4" s="3" t="str">
        <f t="shared" si="1"/>
        <v>Active</v>
      </c>
      <c r="J4" s="3">
        <v>40.0</v>
      </c>
      <c r="K4" s="3">
        <v>0.0</v>
      </c>
      <c r="L4" s="3">
        <v>0.0</v>
      </c>
      <c r="M4" s="3">
        <v>1.0</v>
      </c>
      <c r="N4" s="3">
        <v>30.0</v>
      </c>
      <c r="O4" s="3">
        <v>40.0</v>
      </c>
      <c r="P4" s="3">
        <v>0.0</v>
      </c>
      <c r="Q4" s="3">
        <v>1.0</v>
      </c>
      <c r="R4" s="3"/>
      <c r="S4" s="3">
        <v>1000000.0</v>
      </c>
      <c r="T4" s="3">
        <v>0.001</v>
      </c>
      <c r="U4" s="3" t="inlineStr">
        <is>
          <t>Yes</t>
        </is>
      </c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grid-03</t>
        </is>
      </c>
      <c r="C5" s="3">
        <v>9.2</v>
      </c>
      <c r="D5" s="3">
        <v>3.0</v>
      </c>
      <c r="E5" s="3">
        <v>14.2</v>
      </c>
      <c r="F5" s="3">
        <v>3.0</v>
      </c>
      <c r="G5" s="3" t="inlineStr">
        <is>
          <t>Geosynthetic</t>
        </is>
      </c>
      <c r="H5" s="3" t="str">
        <f>IF($G5="","",IFERROR(VLOOKUP($G5,$AH$8:$AJ$11,2,0),""))</f>
        <v>Tangent</v>
      </c>
      <c r="I5" s="3" t="str">
        <f t="shared" si="1"/>
        <v>Active</v>
      </c>
      <c r="J5" s="3">
        <v>40.0</v>
      </c>
      <c r="K5" s="3">
        <v>0.0</v>
      </c>
      <c r="L5" s="3">
        <v>0.0</v>
      </c>
      <c r="M5" s="3">
        <v>1.0</v>
      </c>
      <c r="N5" s="3">
        <v>30.0</v>
      </c>
      <c r="O5" s="3">
        <v>40.0</v>
      </c>
      <c r="P5" s="3">
        <v>0.0</v>
      </c>
      <c r="Q5" s="3">
        <v>1.0</v>
      </c>
      <c r="R5" s="3"/>
      <c r="S5" s="3">
        <v>1000000.0</v>
      </c>
      <c r="T5" s="3">
        <v>0.001</v>
      </c>
      <c r="U5" s="3" t="inlineStr">
        <is>
          <t>Yes</t>
        </is>
      </c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</t>
        </is>
      </c>
      <c r="C3" s="3">
        <v>8.0</v>
      </c>
      <c r="D3" s="3">
        <v>0.0</v>
      </c>
      <c r="E3" s="3">
        <v>9.2</v>
      </c>
      <c r="F3" s="3">
        <v>0.0</v>
      </c>
      <c r="G3" s="3"/>
      <c r="H3" s="3">
        <v>34.0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back face</t>
        </is>
      </c>
      <c r="C4" s="3">
        <v>9.2</v>
      </c>
      <c r="D4" s="3">
        <v>0.0</v>
      </c>
      <c r="E4" s="3">
        <v>9.2</v>
      </c>
      <c r="F4" s="3">
        <v>3.6</v>
      </c>
      <c r="G4" s="3"/>
      <c r="H4" s="3">
        <v>30.0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course-01</t>
        </is>
      </c>
      <c r="C5" s="3">
        <v>8.0</v>
      </c>
      <c r="D5" s="3">
        <v>0.6</v>
      </c>
      <c r="E5" s="3">
        <v>9.2</v>
      </c>
      <c r="F5" s="3">
        <v>0.6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course-02</t>
        </is>
      </c>
      <c r="C6" s="3">
        <v>8.0</v>
      </c>
      <c r="D6" s="3">
        <v>1.2</v>
      </c>
      <c r="E6" s="3">
        <v>9.2</v>
      </c>
      <c r="F6" s="3">
        <v>1.2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course-03</t>
        </is>
      </c>
      <c r="C7" s="3">
        <v>8.0</v>
      </c>
      <c r="D7" s="3">
        <v>1.8</v>
      </c>
      <c r="E7" s="3">
        <v>9.2</v>
      </c>
      <c r="F7" s="3">
        <v>1.8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course-04</t>
        </is>
      </c>
      <c r="C8" s="3">
        <v>8.0</v>
      </c>
      <c r="D8" s="3">
        <v>2.4</v>
      </c>
      <c r="E8" s="3">
        <v>9.2</v>
      </c>
      <c r="F8" s="3">
        <v>2.4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course-05</t>
        </is>
      </c>
      <c r="C9" s="3">
        <v>8.0</v>
      </c>
      <c r="D9" s="3">
        <v>3.0</v>
      </c>
      <c r="E9" s="3">
        <v>9.2</v>
      </c>
      <c r="F9" s="3">
        <v>3.0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