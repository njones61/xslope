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<sst xmlns="http://schemas.openxmlformats.org/spreadsheetml/2006/main" count="602" uniqueCount="319">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</sst>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day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0.0</v>
      </c>
      <c r="D11" s="3"/>
      <c r="E11" s="3"/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1.5</v>
      </c>
      <c r="AH11" s="3">
        <v>0.5</v>
      </c>
      <c r="AI11" s="3">
        <v>0.0</v>
      </c>
      <c r="AJ11" s="3" t="inlineStr">
        <is>
          <t>lf</t>
        </is>
      </c>
      <c r="AK11" s="3">
        <v>0.01</v>
      </c>
      <c r="AL11" s="3">
        <v>-0.3</v>
      </c>
      <c r="AM11" s="3">
        <v>0.0</v>
      </c>
      <c r="AN11" s="3">
        <v>0.0</v>
      </c>
      <c r="AO11" s="3">
        <v>0.5</v>
      </c>
      <c r="AP11" s="3">
        <v>0.0003</v>
      </c>
      <c r="AQ11" s="3">
        <v>0.22</v>
      </c>
    </row>
    <row r="12" spans="1:43" x14ac:dyDescent="0.2">
      <c r="A12" s="3">
        <v>2</v>
      </c>
      <c r="B12" s="3" t="inlineStr">
        <is>
          <t>core</t>
        </is>
      </c>
      <c r="C12" s="3">
        <v>0.0</v>
      </c>
      <c r="D12" s="3"/>
      <c r="E12" s="3"/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0.012</v>
      </c>
      <c r="AH12" s="3">
        <v>0.005</v>
      </c>
      <c r="AI12" s="3">
        <v>0.0</v>
      </c>
      <c r="AJ12" s="3" t="inlineStr">
        <is>
          <t>lf</t>
        </is>
      </c>
      <c r="AK12" s="3">
        <v>0.01</v>
      </c>
      <c r="AL12" s="3">
        <v>-0.3</v>
      </c>
      <c r="AM12" s="18">
        <v>0.0</v>
      </c>
      <c r="AN12" s="19">
        <v>0.0</v>
      </c>
      <c r="AO12" s="19">
        <v>0.5</v>
      </c>
      <c r="AP12" s="19">
        <v>0.003</v>
      </c>
      <c r="AQ12" s="19">
        <v>0.03</v>
      </c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shell</v>
      </c>
      <c r="B6" s="57"/>
      <c r="D6" s="56" t="str">
        <f>_xlfn.XLOOKUP(E5,mat!$A:$A, mat!$B:$B,"") &amp; ""</f>
        <v>core</v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46.0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42.0</v>
      </c>
      <c r="B10" s="3">
        <v>18.0</v>
      </c>
      <c r="D10" s="3">
        <v>51.0</v>
      </c>
      <c r="E10" s="3">
        <v>18.0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51.0</v>
      </c>
      <c r="B11" s="3">
        <v>22.0</v>
      </c>
      <c r="D11" s="3">
        <v>59.0</v>
      </c>
      <c r="E11" s="3">
        <v>18.0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59.0</v>
      </c>
      <c r="B12" s="3">
        <v>22.0</v>
      </c>
      <c r="D12" s="3">
        <v>63.0</v>
      </c>
      <c r="E12" s="3">
        <v>0.0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105.0</v>
      </c>
      <c r="B13" s="3">
        <v>2.0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110.0</v>
      </c>
      <c r="B14" s="3">
        <v>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shell</v>
      </c>
      <c r="B7" s="57"/>
      <c r="D7" s="58" t="str">
        <f>IF(OR(E5="",E5="material"),_xlfn.XLOOKUP(E6,mat!$A:$A, mat!$B:$B,"") &amp; "","")</f>
        <v>core</v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