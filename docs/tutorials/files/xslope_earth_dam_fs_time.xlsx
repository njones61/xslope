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523500CF-89B8-4644-B955-31C74218CF4E}" xr6:coauthVersionLast="47" xr6:coauthVersionMax="47" xr10:uidLastSave="{00000000-0000-0000-0000-000000000000}"/>
  <bookViews>
    <workbookView xWindow="4560" yWindow="4320" windowWidth="4694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<sst xmlns="http://schemas.openxmlformats.org/spreadsheetml/2006/main" count="601" uniqueCount="318">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</sst>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217714</xdr:colOff>
      <xdr:row>1</xdr:row>
      <xdr:rowOff>54430</xdr:rowOff>
    </xdr:from>
    <xdr:to>
      <xdr:col>25</xdr:col>
      <xdr:colOff>444500</xdr:colOff>
      <xdr:row>21</xdr:row>
      <xdr:rowOff>90714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6455571" y="254001"/>
          <a:ext cx="3855358" cy="4027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soii-reinforcement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25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 t="inlineStr">
        <is>
          <t>day</t>
        </is>
      </c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313</v>
      </c>
      <c r="F20" s="1" t="s">
        <v>46</v>
      </c>
      <c r="G20" s="9" t="s">
        <v>47</v>
      </c>
      <c r="D20"/>
    </row>
    <row r="21" spans="2:7" x14ac:dyDescent="0.2">
      <c r="C21" s="14" t="s">
        <v>45</v>
      </c>
      <c r="F21" s="1" t="s">
        <v>49</v>
      </c>
      <c r="G21" t="s">
        <v>50</v>
      </c>
      <c r="D21"/>
    </row>
    <row r="22" spans="2:7" x14ac:dyDescent="0.2">
      <c r="C22" s="14" t="s">
        <v>48</v>
      </c>
      <c r="F22" s="1"/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310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309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305</v>
      </c>
      <c r="AB10" s="46" t="s">
        <v>304</v>
      </c>
      <c r="AC10" s="47" t="s">
        <v>135</v>
      </c>
      <c r="AD10" s="46" t="s">
        <v>306</v>
      </c>
      <c r="AE10" s="46" t="s">
        <v>307</v>
      </c>
      <c r="AF10" s="47" t="s">
        <v>308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shell</t>
        </is>
      </c>
      <c r="C11" s="3">
        <v>20.0</v>
      </c>
      <c r="D11" s="3">
        <v>21.0</v>
      </c>
      <c r="E11" s="3" t="inlineStr">
        <is>
          <t>mc</t>
        </is>
      </c>
      <c r="F11" s="3">
        <v>0.0</v>
      </c>
      <c r="G11" s="3">
        <v>35.0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0.0</v>
      </c>
      <c r="N11" s="3">
        <v>0.0</v>
      </c>
      <c r="O11" s="3" t="inlineStr">
        <is>
          <t>seep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1.5</v>
      </c>
      <c r="AH11" s="3">
        <v>0.5</v>
      </c>
      <c r="AI11" s="3">
        <v>0.0</v>
      </c>
      <c r="AJ11" s="3" t="inlineStr">
        <is>
          <t>lf</t>
        </is>
      </c>
      <c r="AK11" s="3">
        <v>0.01</v>
      </c>
      <c r="AL11" s="3">
        <v>-0.3</v>
      </c>
      <c r="AM11" s="3">
        <v>0.0</v>
      </c>
      <c r="AN11" s="3">
        <v>0.0</v>
      </c>
      <c r="AO11" s="3">
        <v>0.0003</v>
      </c>
      <c r="AP11" s="3">
        <v>0.22</v>
      </c>
    </row>
    <row r="12" spans="1:42" x14ac:dyDescent="0.2">
      <c r="A12" s="3">
        <v>2</v>
      </c>
      <c r="B12" s="3" t="inlineStr">
        <is>
          <t>core</t>
        </is>
      </c>
      <c r="C12" s="3">
        <v>19.0</v>
      </c>
      <c r="D12" s="3">
        <v>20.0</v>
      </c>
      <c r="E12" s="3" t="inlineStr">
        <is>
          <t>mc</t>
        </is>
      </c>
      <c r="F12" s="3">
        <v>10.0</v>
      </c>
      <c r="G12" s="3">
        <v>25.0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>
        <v>0.0</v>
      </c>
      <c r="N12" s="3">
        <v>0.0</v>
      </c>
      <c r="O12" s="3" t="inlineStr">
        <is>
          <t>seep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0.012</v>
      </c>
      <c r="AH12" s="3">
        <v>0.005</v>
      </c>
      <c r="AI12" s="3">
        <v>0.0</v>
      </c>
      <c r="AJ12" s="3" t="inlineStr">
        <is>
          <t>lf</t>
        </is>
      </c>
      <c r="AK12" s="3">
        <v>0.01</v>
      </c>
      <c r="AL12" s="3">
        <v>-0.3</v>
      </c>
      <c r="AM12" s="18">
        <v>0.0</v>
      </c>
      <c r="AN12" s="19">
        <v>0.0</v>
      </c>
      <c r="AO12" s="19">
        <v>0.003</v>
      </c>
      <c r="AP12" s="19">
        <v>0.03</v>
      </c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>
        <v>0.0</v>
      </c>
      <c r="D2" s="24" t="s">
        <v>147</v>
      </c>
      <c r="N2" s="24" t="s">
        <v>148</v>
      </c>
    </row>
    <row r="4" spans="1:44" x14ac:dyDescent="0.2">
      <c r="A4" s="55" t="inlineStr">
        <is>
          <t>Profile Line #1</t>
        </is>
      </c>
      <c r="B4" s="52"/>
      <c r="D4" s="55" t="inlineStr">
        <is>
          <t>Profile Line #2</t>
        </is>
      </c>
      <c r="E4" s="52"/>
      <c r="G4" s="55" t="s">
        <v>151</v>
      </c>
      <c r="H4" s="52"/>
      <c r="J4" s="55" t="s">
        <v>152</v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>
        <v>0.0</v>
      </c>
      <c r="B9" s="3">
        <v>0.0</v>
      </c>
      <c r="D9" s="3">
        <v>46.0</v>
      </c>
      <c r="E9" s="3">
        <v>0.0</v>
      </c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42.0</v>
      </c>
      <c r="B10" s="3">
        <v>18.0</v>
      </c>
      <c r="D10" s="3">
        <v>51.0</v>
      </c>
      <c r="E10" s="3">
        <v>18.0</v>
      </c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51.0</v>
      </c>
      <c r="B11" s="3">
        <v>22.0</v>
      </c>
      <c r="D11" s="3">
        <v>59.0</v>
      </c>
      <c r="E11" s="3">
        <v>18.0</v>
      </c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59.0</v>
      </c>
      <c r="B12" s="3">
        <v>22.0</v>
      </c>
      <c r="D12" s="3">
        <v>63.0</v>
      </c>
      <c r="E12" s="3">
        <v>0.0</v>
      </c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>
        <v>105.0</v>
      </c>
      <c r="B13" s="3">
        <v>2.0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110.0</v>
      </c>
      <c r="B14" s="3">
        <v>0.0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s">
        <v>170</v>
      </c>
      <c r="B4" s="52"/>
      <c r="D4" s="55" t="s">
        <v>171</v>
      </c>
      <c r="E4" s="52"/>
      <c r="G4" s="55" t="s">
        <v>172</v>
      </c>
      <c r="H4" s="52"/>
      <c r="J4" s="55" t="s">
        <v>173</v>
      </c>
      <c r="K4" s="52"/>
      <c r="M4" s="55" t="s">
        <v>174</v>
      </c>
      <c r="N4" s="52"/>
      <c r="P4" s="55" t="s">
        <v>175</v>
      </c>
      <c r="Q4" s="54"/>
      <c r="R4" s="1"/>
      <c r="S4" s="55" t="s">
        <v>176</v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s">
        <v>186</v>
      </c>
      <c r="D5" s="38" t="s">
        <v>185</v>
      </c>
      <c r="E5" s="39" t="s">
        <v>186</v>
      </c>
      <c r="G5" s="38" t="s">
        <v>185</v>
      </c>
      <c r="H5" s="39" t="s">
        <v>186</v>
      </c>
      <c r="J5" s="38" t="s">
        <v>185</v>
      </c>
      <c r="K5" s="39" t="s">
        <v>186</v>
      </c>
      <c r="M5" s="38" t="s">
        <v>185</v>
      </c>
      <c r="N5" s="39" t="s">
        <v>186</v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3</v>
      </c>
      <c r="J6" s="38" t="s">
        <v>164</v>
      </c>
      <c r="K6" s="39">
        <v>4</v>
      </c>
      <c r="M6" s="38" t="s">
        <v>164</v>
      </c>
      <c r="N6" s="39">
        <v>5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/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P7:Q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 t="inlineStr">
        <is>
          <t>piezo</t>
        </is>
      </c>
      <c r="D3" s="34" t="s">
        <v>185</v>
      </c>
      <c r="E3" s="35" t="inlineStr">
        <is>
          <t>piezo</t>
        </is>
      </c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191</v>
      </c>
    </row>
    <row r="6" spans="1:8" x14ac:dyDescent="0.2">
      <c r="A6" s="3"/>
      <c r="B6" s="3"/>
      <c r="D6" s="3"/>
      <c r="E6" s="3"/>
      <c r="G6" s="1" t="s">
        <v>192</v>
      </c>
      <c r="H6" t="s">
        <v>193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>
        <v>25.0</v>
      </c>
      <c r="C3" s="3">
        <v>44.0</v>
      </c>
      <c r="D3" s="3" t="inlineStr">
        <is>
          <t>Depth</t>
        </is>
      </c>
      <c r="E3" s="3">
        <v>0.0</v>
      </c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  <c r="K8">
        <v>42.0</v>
      </c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  <c r="K9">
        <v>59.0</v>
      </c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  <c r="K10">
        <v>0.0</v>
      </c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  <c r="K11">
        <v>42.0</v>
      </c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  <c r="K12"/>
    </row>
    <row r="13" spans="1:14" x14ac:dyDescent="0.2">
      <c r="J13" s="14" t="s">
        <v>214</v>
      </c>
      <c r="K13"/>
    </row>
    <row r="14" spans="1:14" x14ac:dyDescent="0.2">
      <c r="J14" s="14" t="s">
        <v>215</v>
      </c>
      <c r="K14"/>
    </row>
    <row r="15" spans="1:14" x14ac:dyDescent="0.2">
      <c r="J15" s="14" t="s">
        <v>216</v>
      </c>
      <c r="K15"/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  <c r="K17">
        <v>8.0</v>
      </c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/>
      <c r="B3" s="3"/>
      <c r="C3" s="3"/>
      <c r="E3" t="s">
        <v>222</v>
      </c>
      <c r="F3" t="s">
        <v>223</v>
      </c>
    </row>
    <row r="4" spans="1:6" x14ac:dyDescent="0.2">
      <c r="A4" s="3"/>
      <c r="B4" s="3"/>
      <c r="C4" s="3"/>
      <c r="E4" t="s">
        <v>224</v>
      </c>
      <c r="F4" t="s">
        <v>225</v>
      </c>
    </row>
    <row r="5" spans="1:6" x14ac:dyDescent="0.2">
      <c r="A5" s="3"/>
      <c r="B5" s="3"/>
      <c r="C5" s="3"/>
      <c r="E5" t="s">
        <v>226</v>
      </c>
      <c r="F5" t="s">
        <v>227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D25"/>
  <sheetViews>
    <sheetView showGridLines="0" zoomScale="140" zoomScaleNormal="140" workbookViewId="0">
      <selection activeCell="B25" sqref="B25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0" width="10.83203125" style="1" customWidth="1"/>
    <col min="21" max="21" width="4.33203125" customWidth="1"/>
  </cols>
  <sheetData>
    <row r="2" spans="1:30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311</v>
      </c>
      <c r="N2" s="27" t="s">
        <v>312</v>
      </c>
      <c r="O2" s="27" t="s">
        <v>253</v>
      </c>
      <c r="P2" s="27" t="s">
        <v>254</v>
      </c>
      <c r="Q2" s="27" t="s">
        <v>255</v>
      </c>
      <c r="R2" s="28" t="s">
        <v>256</v>
      </c>
      <c r="S2" s="28" t="s">
        <v>122</v>
      </c>
      <c r="T2" s="28" t="s">
        <v>257</v>
      </c>
      <c r="AB2" t="s">
        <v>258</v>
      </c>
      <c r="AC2" t="s">
        <v>259</v>
      </c>
      <c r="AD2" t="s">
        <v>260</v>
      </c>
    </row>
    <row r="3" spans="1:30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IF($G3="","",IFERROR(VLOOKUP($G3,$AB$8:$AD$11,2,0),""))</f>
        <v/>
      </c>
      <c r="I3" s="3" t="str">
        <f t="shared" ref="I3:I22" si="1">IF($G3="","",IFERROR(VLOOKUP($G3,$AB$8:$AD$11,3,0),""))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AB3" t="s">
        <v>261</v>
      </c>
      <c r="AC3" t="s">
        <v>262</v>
      </c>
      <c r="AD3" t="s">
        <v>263</v>
      </c>
    </row>
    <row r="4" spans="1:30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AB4" t="s">
        <v>264</v>
      </c>
    </row>
    <row r="5" spans="1:30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AB5" t="s">
        <v>265</v>
      </c>
    </row>
    <row r="6" spans="1:30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30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30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AB8" t="s">
        <v>258</v>
      </c>
      <c r="AC8" t="s">
        <v>259</v>
      </c>
      <c r="AD8" t="s">
        <v>260</v>
      </c>
    </row>
    <row r="9" spans="1:30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AB9" t="s">
        <v>261</v>
      </c>
      <c r="AC9" t="s">
        <v>262</v>
      </c>
      <c r="AD9" t="s">
        <v>263</v>
      </c>
    </row>
    <row r="10" spans="1:30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AB10" t="s">
        <v>264</v>
      </c>
      <c r="AC10" t="s">
        <v>262</v>
      </c>
      <c r="AD10" t="s">
        <v>260</v>
      </c>
    </row>
    <row r="11" spans="1:30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AB11" t="s">
        <v>265</v>
      </c>
      <c r="AC11" t="s">
        <v>262</v>
      </c>
      <c r="AD11" t="s">
        <v>260</v>
      </c>
    </row>
    <row r="12" spans="1:30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30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30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30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30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3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3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3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3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3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3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3" x14ac:dyDescent="0.2">
      <c r="V23" s="42"/>
      <c r="W23" t="s">
        <v>91</v>
      </c>
    </row>
    <row r="24" spans="1:23" x14ac:dyDescent="0.2">
      <c r="K24" s="9"/>
      <c r="L24" s="9"/>
      <c r="V24" s="26"/>
      <c r="W24" s="9" t="s">
        <v>97</v>
      </c>
    </row>
    <row r="25" spans="1:23" x14ac:dyDescent="0.2">
      <c r="K25" s="9"/>
      <c r="L25" s="9"/>
      <c r="V25" s="29"/>
      <c r="W25" s="9" t="s">
        <v>104</v>
      </c>
    </row>
  </sheetData>
  <dataValidations count="3">
    <dataValidation type="list" allowBlank="1" showInputMessage="1" showErrorMessage="1" sqref="G3:G22" xr:uid="{00000000-0002-0000-0900-000000000000}">
      <formula1>$AB$2:$AB$5</formula1>
    </dataValidation>
    <dataValidation type="list" allowBlank="1" showInputMessage="1" showErrorMessage="1" sqref="H3:H22" xr:uid="{00000000-0002-0000-0900-000001000000}">
      <formula1>$AC$2:$AC$3</formula1>
    </dataValidation>
    <dataValidation type="list" allowBlank="1" showInputMessage="1" showErrorMessage="1" sqref="I3:I22" xr:uid="{00000000-0002-0000-0900-000002000000}">
      <formula1>$AD$2:$AD$3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314</v>
      </c>
      <c r="Q2" s="28" t="s">
        <v>315</v>
      </c>
      <c r="Z2" t="s">
        <v>222</v>
      </c>
      <c r="AA2" t="s">
        <v>260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316</v>
      </c>
      <c r="AA3" t="s">
        <v>263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317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226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97</v>
      </c>
    </row>
    <row r="17" spans="19:20" x14ac:dyDescent="0.2">
      <c r="S17" s="29"/>
      <c r="T17" s="9" t="s">
        <v>104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272</v>
      </c>
      <c r="F2" s="12" t="s">
        <v>273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274</v>
      </c>
      <c r="C2" s="65"/>
      <c r="E2" s="59" t="s">
        <v>275</v>
      </c>
      <c r="F2" s="54"/>
      <c r="H2" s="59" t="s">
        <v>276</v>
      </c>
      <c r="I2" s="54"/>
      <c r="K2" s="59" t="s">
        <v>277</v>
      </c>
      <c r="L2" s="54"/>
      <c r="N2" s="59" t="s">
        <v>278</v>
      </c>
      <c r="O2" s="54"/>
      <c r="Q2" s="59" t="s">
        <v>279</v>
      </c>
      <c r="R2" s="54"/>
    </row>
    <row r="3" spans="2:21" x14ac:dyDescent="0.2">
      <c r="B3" s="66"/>
      <c r="C3" s="67"/>
      <c r="E3" s="32" t="inlineStr">
        <is>
          <t>reservoir</t>
        </is>
      </c>
      <c r="F3" s="33" t="inlineStr">
        <is>
          <t>pool</t>
        </is>
      </c>
      <c r="H3" s="32" t="inlineStr">
        <is>
          <t>head</t>
        </is>
      </c>
      <c r="I3" s="33">
        <v>2.0</v>
      </c>
      <c r="K3" s="32" t="s">
        <v>280</v>
      </c>
      <c r="L3" s="33"/>
      <c r="N3" s="32" t="s">
        <v>280</v>
      </c>
      <c r="O3" s="33"/>
      <c r="Q3" s="32" t="s">
        <v>280</v>
      </c>
      <c r="R3" s="33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>
        <v>59.0</v>
      </c>
      <c r="C5" s="3">
        <v>22.0</v>
      </c>
      <c r="E5" s="3">
        <v>0.0</v>
      </c>
      <c r="F5" s="3">
        <v>0.0</v>
      </c>
      <c r="H5" s="3">
        <v>105.0</v>
      </c>
      <c r="I5" s="3">
        <v>2.0</v>
      </c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>
        <v>105.0</v>
      </c>
      <c r="C6" s="3">
        <v>2.0</v>
      </c>
      <c r="E6" s="3">
        <v>42.0</v>
      </c>
      <c r="F6" s="3">
        <v>18.0</v>
      </c>
      <c r="H6" s="3">
        <v>110.0</v>
      </c>
      <c r="I6" s="3">
        <v>0.0</v>
      </c>
      <c r="K6" s="3"/>
      <c r="L6" s="3"/>
      <c r="N6" s="3"/>
      <c r="O6" s="3"/>
      <c r="Q6" s="3"/>
      <c r="R6" s="3"/>
      <c r="T6" s="1" t="s">
        <v>285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286</v>
      </c>
      <c r="C2" s="65"/>
      <c r="E2" s="60" t="s">
        <v>287</v>
      </c>
      <c r="F2" s="54"/>
      <c r="H2" s="60" t="s">
        <v>288</v>
      </c>
      <c r="I2" s="54"/>
      <c r="K2" s="60" t="s">
        <v>289</v>
      </c>
      <c r="L2" s="54"/>
      <c r="N2" s="60" t="s">
        <v>290</v>
      </c>
      <c r="O2" s="54"/>
      <c r="Q2" s="60" t="s">
        <v>291</v>
      </c>
      <c r="R2" s="54"/>
    </row>
    <row r="3" spans="2:21" x14ac:dyDescent="0.2">
      <c r="B3" s="66"/>
      <c r="C3" s="67"/>
      <c r="E3" s="34" t="s">
        <v>280</v>
      </c>
      <c r="F3" s="35"/>
      <c r="H3" s="34" t="s">
        <v>280</v>
      </c>
      <c r="I3" s="35"/>
      <c r="K3" s="34" t="s">
        <v>280</v>
      </c>
      <c r="L3" s="35"/>
      <c r="N3" s="34" t="s">
        <v>280</v>
      </c>
      <c r="O3" s="35"/>
      <c r="Q3" s="34" t="s">
        <v>280</v>
      </c>
      <c r="R3" s="35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inlineStr">
        <is>
          <t>time</t>
        </is>
      </c>
      <c r="C2" s="50" t="inlineStr">
        <is>
          <t>pool</t>
        </is>
      </c>
      <c r="D2" s="50" t="s">
        <v>294</v>
      </c>
      <c r="E2" s="50" t="s">
        <v>295</v>
      </c>
      <c r="F2" s="50" t="s">
        <v>296</v>
      </c>
      <c r="G2" s="50" t="s">
        <v>297</v>
      </c>
    </row>
    <row r="3" spans="2:10" x14ac:dyDescent="0.2">
      <c r="B3" s="3">
        <v>0.0</v>
      </c>
      <c r="C3" s="3">
        <v>18.0</v>
      </c>
      <c r="D3" s="3"/>
      <c r="E3" s="3"/>
      <c r="F3" s="3"/>
      <c r="G3" s="3"/>
      <c r="I3" s="14" t="s">
        <v>298</v>
      </c>
      <c r="J3" s="3">
        <v>360.0</v>
      </c>
    </row>
    <row r="4" spans="2:10" x14ac:dyDescent="0.2">
      <c r="B4" s="3">
        <v>2.0</v>
      </c>
      <c r="C4" s="3">
        <v>18.0</v>
      </c>
      <c r="D4" s="3"/>
      <c r="E4" s="3"/>
      <c r="F4" s="3"/>
      <c r="G4" s="3"/>
      <c r="I4" s="14"/>
      <c r="J4" s="1"/>
    </row>
    <row r="5" spans="2:10" x14ac:dyDescent="0.2">
      <c r="B5" s="3">
        <v>47.0</v>
      </c>
      <c r="C5" s="3">
        <v>2.0</v>
      </c>
      <c r="D5" s="3"/>
      <c r="E5" s="3"/>
      <c r="F5" s="3"/>
      <c r="G5" s="3"/>
      <c r="I5" s="14" t="s">
        <v>299</v>
      </c>
      <c r="J5" s="3">
        <v>60.0</v>
      </c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300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301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302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inlineStr">
        <is>
          <t>save_times</t>
        </is>
      </c>
    </row>
    <row r="12" spans="2:10" x14ac:dyDescent="0.2">
      <c r="B12" s="3"/>
      <c r="C12" s="3"/>
      <c r="D12" s="3"/>
      <c r="E12" s="3"/>
      <c r="F12" s="3"/>
      <c r="G12" s="3"/>
      <c r="J12" s="4">
        <v>2.0</v>
      </c>
    </row>
    <row r="13" spans="2:10" x14ac:dyDescent="0.2">
      <c r="B13" s="3"/>
      <c r="C13" s="3"/>
      <c r="D13" s="3"/>
      <c r="E13" s="3"/>
      <c r="F13" s="3"/>
      <c r="G13" s="3"/>
      <c r="J13" s="4">
        <v>15.0</v>
      </c>
    </row>
    <row r="14" spans="2:10" x14ac:dyDescent="0.2">
      <c r="B14" s="3"/>
      <c r="C14" s="3"/>
      <c r="D14" s="3"/>
      <c r="E14" s="3"/>
      <c r="F14" s="3"/>
      <c r="G14" s="3"/>
      <c r="J14" s="4">
        <v>30.0</v>
      </c>
    </row>
    <row r="15" spans="2:10" x14ac:dyDescent="0.2">
      <c r="B15" s="3"/>
      <c r="C15" s="3"/>
      <c r="D15" s="3"/>
      <c r="E15" s="3"/>
      <c r="F15" s="3"/>
      <c r="G15" s="3"/>
      <c r="J15" s="4">
        <v>47.0</v>
      </c>
    </row>
    <row r="16" spans="2:10" x14ac:dyDescent="0.2">
      <c r="B16" s="3"/>
      <c r="C16" s="3"/>
      <c r="D16" s="3"/>
      <c r="E16" s="3"/>
      <c r="F16" s="3"/>
      <c r="G16" s="3"/>
      <c r="J16" s="4">
        <v>80.0</v>
      </c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2026-08-25T03:35:45Z</dcterms:modified>
</cp:coreProperties>
</file>