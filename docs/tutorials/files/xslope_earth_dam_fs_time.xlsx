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<sst xmlns="http://schemas.openxmlformats.org/spreadsheetml/2006/main" count="602" uniqueCount="319">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</sst>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20.0</v>
      </c>
      <c r="D11" s="3">
        <v>21.0</v>
      </c>
      <c r="E11" s="3" t="inlineStr">
        <is>
          <t>mc</t>
        </is>
      </c>
      <c r="F11" s="3">
        <v>0.0</v>
      </c>
      <c r="G11" s="3">
        <v>32.0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1.5</v>
      </c>
      <c r="AH11" s="3">
        <v>0.5</v>
      </c>
      <c r="AI11" s="3">
        <v>0.0</v>
      </c>
      <c r="AJ11" s="3" t="inlineStr">
        <is>
          <t>lf</t>
        </is>
      </c>
      <c r="AK11" s="3">
        <v>0.01</v>
      </c>
      <c r="AL11" s="3">
        <v>-0.3</v>
      </c>
      <c r="AM11" s="3">
        <v>0.0</v>
      </c>
      <c r="AN11" s="3">
        <v>0.0</v>
      </c>
      <c r="AO11" s="3">
        <v>0.5</v>
      </c>
      <c r="AP11" s="3">
        <v>0.0003</v>
      </c>
      <c r="AQ11" s="3">
        <v>0.22</v>
      </c>
    </row>
    <row r="12" spans="1:43" x14ac:dyDescent="0.2">
      <c r="A12" s="3">
        <v>2</v>
      </c>
      <c r="B12" s="3" t="inlineStr">
        <is>
          <t>core</t>
        </is>
      </c>
      <c r="C12" s="3">
        <v>19.0</v>
      </c>
      <c r="D12" s="3">
        <v>20.0</v>
      </c>
      <c r="E12" s="3" t="inlineStr">
        <is>
          <t>mc</t>
        </is>
      </c>
      <c r="F12" s="3">
        <v>10.0</v>
      </c>
      <c r="G12" s="3">
        <v>25.0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0.012</v>
      </c>
      <c r="AH12" s="3">
        <v>0.005</v>
      </c>
      <c r="AI12" s="3">
        <v>0.0</v>
      </c>
      <c r="AJ12" s="3" t="inlineStr">
        <is>
          <t>lf</t>
        </is>
      </c>
      <c r="AK12" s="3">
        <v>0.01</v>
      </c>
      <c r="AL12" s="3">
        <v>-0.3</v>
      </c>
      <c r="AM12" s="18">
        <v>0.0</v>
      </c>
      <c r="AN12" s="19">
        <v>0.0</v>
      </c>
      <c r="AO12" s="19">
        <v>0.5</v>
      </c>
      <c r="AP12" s="19">
        <v>0.003</v>
      </c>
      <c r="AQ12" s="19">
        <v>0.03</v>
      </c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shell</v>
      </c>
      <c r="B6" s="57"/>
      <c r="D6" s="56" t="str">
        <f>_xlfn.XLOOKUP(E5,mat!$A:$A, mat!$B:$B,"") &amp; ""</f>
        <v>core</v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46.0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42.0</v>
      </c>
      <c r="B10" s="3">
        <v>18.0</v>
      </c>
      <c r="D10" s="3">
        <v>51.0</v>
      </c>
      <c r="E10" s="3">
        <v>18.0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51.0</v>
      </c>
      <c r="B11" s="3">
        <v>22.0</v>
      </c>
      <c r="D11" s="3">
        <v>59.0</v>
      </c>
      <c r="E11" s="3">
        <v>18.0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59.0</v>
      </c>
      <c r="B12" s="3">
        <v>22.0</v>
      </c>
      <c r="D12" s="3">
        <v>63.0</v>
      </c>
      <c r="E12" s="3">
        <v>0.0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105.0</v>
      </c>
      <c r="B13" s="3">
        <v>2.0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110.0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shell</v>
      </c>
      <c r="B7" s="57"/>
      <c r="D7" s="58" t="str">
        <f>IF(OR(E5="",E5="material"),_xlfn.XLOOKUP(E6,mat!$A:$A, mat!$B:$B,"") &amp; "","")</f>
        <v>core</v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7.0</v>
      </c>
      <c r="C3" s="3">
        <v>56.0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103.0</v>
      </c>
      <c r="C4" s="3">
        <v>59.0</v>
      </c>
      <c r="D4" s="3" t="inlineStr">
        <is>
          <t>Depth</t>
        </is>
      </c>
      <c r="E4" s="3">
        <v>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>
        <v>8.0</v>
      </c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reservoir</t>
        </is>
      </c>
      <c r="F3" s="33" t="inlineStr">
        <is>
          <t>pool</t>
        </is>
      </c>
      <c r="H3" s="32" t="inlineStr">
        <is>
          <t>head</t>
        </is>
      </c>
      <c r="I3" s="33">
        <v>2.0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59.0</v>
      </c>
      <c r="C5" s="3">
        <v>22.0</v>
      </c>
      <c r="E5" s="3">
        <v>0.0</v>
      </c>
      <c r="F5" s="3">
        <v>0.0</v>
      </c>
      <c r="H5" s="3">
        <v>105.0</v>
      </c>
      <c r="I5" s="3">
        <v>2.0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105.0</v>
      </c>
      <c r="C6" s="3">
        <v>2.0</v>
      </c>
      <c r="E6" s="3">
        <v>42.0</v>
      </c>
      <c r="F6" s="3">
        <v>18.0</v>
      </c>
      <c r="H6" s="3">
        <v>110.0</v>
      </c>
      <c r="I6" s="3">
        <v>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pool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18.0</v>
      </c>
      <c r="D3" s="3"/>
      <c r="E3" s="3"/>
      <c r="F3" s="3"/>
      <c r="G3" s="3"/>
      <c r="I3" s="14" t="s">
        <v>297</v>
      </c>
      <c r="J3" s="3">
        <v>300.0</v>
      </c>
    </row>
    <row r="4" spans="2:10" x14ac:dyDescent="0.2">
      <c r="B4" s="3">
        <v>2.0</v>
      </c>
      <c r="C4" s="3">
        <v>18.0</v>
      </c>
      <c r="D4" s="3"/>
      <c r="E4" s="3"/>
      <c r="F4" s="3"/>
      <c r="G4" s="3"/>
      <c r="I4" s="14"/>
      <c r="J4" s="1"/>
    </row>
    <row r="5" spans="2:10" x14ac:dyDescent="0.2">
      <c r="B5" s="3">
        <v>47.0</v>
      </c>
      <c r="C5" s="3">
        <v>2.0</v>
      </c>
      <c r="D5" s="3"/>
      <c r="E5" s="3"/>
      <c r="F5" s="3"/>
      <c r="G5" s="3"/>
      <c r="I5" s="14" t="s">
        <v>298</v>
      </c>
      <c r="J5" s="3">
        <v>300.0</v>
      </c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2.0</v>
      </c>
    </row>
    <row r="13" spans="2:10" x14ac:dyDescent="0.2">
      <c r="B13" s="3"/>
      <c r="C13" s="3"/>
      <c r="D13" s="3"/>
      <c r="E13" s="3"/>
      <c r="F13" s="3"/>
      <c r="G13" s="3"/>
      <c r="J13" s="4">
        <v>5.0</v>
      </c>
    </row>
    <row r="14" spans="2:10" x14ac:dyDescent="0.2">
      <c r="B14" s="3"/>
      <c r="C14" s="3"/>
      <c r="D14" s="3"/>
      <c r="E14" s="3"/>
      <c r="F14" s="3"/>
      <c r="G14" s="3"/>
      <c r="J14" s="4">
        <v>10.0</v>
      </c>
    </row>
    <row r="15" spans="2:10" x14ac:dyDescent="0.2">
      <c r="B15" s="3"/>
      <c r="C15" s="3"/>
      <c r="D15" s="3"/>
      <c r="E15" s="3"/>
      <c r="F15" s="3"/>
      <c r="G15" s="3"/>
      <c r="J15" s="4">
        <v>15.0</v>
      </c>
    </row>
    <row r="16" spans="2:10" x14ac:dyDescent="0.2">
      <c r="B16" s="3"/>
      <c r="C16" s="3"/>
      <c r="D16" s="3"/>
      <c r="E16" s="3"/>
      <c r="F16" s="3"/>
      <c r="G16" s="3"/>
      <c r="J16" s="4">
        <v>20.0</v>
      </c>
    </row>
    <row r="17" spans="2:10" x14ac:dyDescent="0.2">
      <c r="B17" s="3"/>
      <c r="C17" s="3"/>
      <c r="D17" s="3"/>
      <c r="E17" s="3"/>
      <c r="F17" s="3"/>
      <c r="G17" s="3"/>
      <c r="J17" s="4">
        <v>25.0</v>
      </c>
    </row>
    <row r="18" spans="2:10" x14ac:dyDescent="0.2">
      <c r="B18" s="3"/>
      <c r="C18" s="3"/>
      <c r="D18" s="3"/>
      <c r="E18" s="3"/>
      <c r="F18" s="3"/>
      <c r="G18" s="3"/>
      <c r="J18" s="4">
        <v>30.0</v>
      </c>
    </row>
    <row r="19" spans="2:10" x14ac:dyDescent="0.2">
      <c r="B19" s="3"/>
      <c r="C19" s="3"/>
      <c r="D19" s="3"/>
      <c r="E19" s="3"/>
      <c r="F19" s="3"/>
      <c r="G19" s="3"/>
      <c r="J19" s="4">
        <v>35.0</v>
      </c>
    </row>
    <row r="20" spans="2:10" x14ac:dyDescent="0.2">
      <c r="B20" s="3"/>
      <c r="C20" s="3"/>
      <c r="D20" s="3"/>
      <c r="E20" s="3"/>
      <c r="F20" s="3"/>
      <c r="G20" s="3"/>
      <c r="J20" s="4">
        <v>40.0</v>
      </c>
    </row>
    <row r="21" spans="2:10" x14ac:dyDescent="0.2">
      <c r="B21" s="3"/>
      <c r="C21" s="3"/>
      <c r="D21" s="3"/>
      <c r="E21" s="3"/>
      <c r="F21" s="3"/>
      <c r="G21" s="3"/>
      <c r="J21" s="4">
        <v>47.0</v>
      </c>
    </row>
    <row r="22" spans="2:10" x14ac:dyDescent="0.2">
      <c r="B22" s="3"/>
      <c r="C22" s="3"/>
      <c r="D22" s="3"/>
      <c r="E22" s="3"/>
      <c r="F22" s="3"/>
      <c r="G22" s="3"/>
      <c r="J22" s="4">
        <v>55.0</v>
      </c>
    </row>
    <row r="23" spans="2:10" x14ac:dyDescent="0.2">
      <c r="B23" s="3"/>
      <c r="C23" s="3"/>
      <c r="D23" s="3"/>
      <c r="E23" s="3"/>
      <c r="F23" s="3"/>
      <c r="G23" s="3"/>
      <c r="J23" s="4">
        <v>65.0</v>
      </c>
    </row>
    <row r="24" spans="2:10" x14ac:dyDescent="0.2">
      <c r="B24" s="3"/>
      <c r="C24" s="3"/>
      <c r="D24" s="3"/>
      <c r="E24" s="3"/>
      <c r="F24" s="3"/>
      <c r="G24" s="3"/>
      <c r="J24" s="4">
        <v>80.0</v>
      </c>
    </row>
    <row r="25" spans="2:10" x14ac:dyDescent="0.2">
      <c r="B25" s="3"/>
      <c r="C25" s="3"/>
      <c r="D25" s="3"/>
      <c r="E25" s="3"/>
      <c r="F25" s="3"/>
      <c r="G25" s="3"/>
      <c r="J25" s="4">
        <v>100.0</v>
      </c>
    </row>
    <row r="26" spans="2:10" x14ac:dyDescent="0.2">
      <c r="B26" s="3"/>
      <c r="C26" s="3"/>
      <c r="D26" s="3"/>
      <c r="E26" s="3"/>
      <c r="F26" s="3"/>
      <c r="G26" s="3"/>
      <c r="J26" s="4">
        <v>130.0</v>
      </c>
    </row>
    <row r="27" spans="2:10" x14ac:dyDescent="0.2">
      <c r="B27" s="3"/>
      <c r="C27" s="3"/>
      <c r="D27" s="3"/>
      <c r="E27" s="3"/>
      <c r="F27" s="3"/>
      <c r="G27" s="3"/>
      <c r="J27" s="4">
        <v>180.0</v>
      </c>
    </row>
    <row r="28" spans="2:10" x14ac:dyDescent="0.2">
      <c r="B28" s="3"/>
      <c r="C28" s="3"/>
      <c r="D28" s="3"/>
      <c r="E28" s="3"/>
      <c r="F28" s="3"/>
      <c r="G28" s="3"/>
      <c r="J28" s="4">
        <v>240.0</v>
      </c>
    </row>
    <row r="29" spans="2:10" x14ac:dyDescent="0.2">
      <c r="B29" s="3"/>
      <c r="C29" s="3"/>
      <c r="D29" s="3"/>
      <c r="E29" s="3"/>
      <c r="F29" s="3"/>
      <c r="G29" s="3"/>
      <c r="J29" s="4">
        <v>300.0</v>
      </c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