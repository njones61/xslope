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<sst xmlns="http://schemas.openxmlformats.org/spreadsheetml/2006/main" count="602" uniqueCount="319">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</sst>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0.5</v>
      </c>
      <c r="AP11" s="3">
        <v>0.0001</v>
      </c>
      <c r="AQ11" s="3">
        <v>0.22</v>
      </c>
    </row>
    <row r="12" spans="1:43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>
        <v>0.0</v>
      </c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0.5</v>
      </c>
      <c r="AP12" s="19">
        <v>0.001</v>
      </c>
      <c r="AQ12" s="19">
        <v>0.03</v>
      </c>
    </row>
    <row r="13" spans="1:43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0.5</v>
      </c>
      <c r="AP13" s="19">
        <v>0.0002</v>
      </c>
      <c r="AQ13" s="19">
        <v>0.15</v>
      </c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>shell</v>
      </c>
      <c r="B6" s="57"/>
      <c r="D6" s="56" t="str">
        <f>_xlfn.XLOOKUP(E5,mat!$A:$A, mat!$B:$B,"") &amp; ""</f>
        <v>core</v>
      </c>
      <c r="E6" s="57"/>
      <c r="G6" s="56" t="str">
        <f>_xlfn.XLOOKUP(H5,mat!$A:$A, mat!$B:$B,"") &amp; ""</f>
        <v>foundation</v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>shell</v>
      </c>
      <c r="B7" s="57"/>
      <c r="D7" s="58" t="str">
        <f>IF(OR(E5="",E5="material"),_xlfn.XLOOKUP(E6,mat!$A:$A, mat!$B:$B,"") &amp; "","")</f>
        <v>core</v>
      </c>
      <c r="E7" s="57"/>
      <c r="G7" s="58" t="str">
        <f>IF(OR(H5="",H5="material"),_xlfn.XLOOKUP(H6,mat!$A:$A, mat!$B:$B,"") &amp; "","")</f>
        <v>foundation</v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297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110.0</v>
      </c>
      <c r="D5" s="3"/>
      <c r="E5" s="3"/>
      <c r="F5" s="3"/>
      <c r="G5" s="3"/>
      <c r="I5" s="14" t="s">
        <v>298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