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<sst xmlns="http://schemas.openxmlformats.org/spreadsheetml/2006/main" count="602" uniqueCount="319">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</sst>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0.5</v>
      </c>
      <c r="AP11" s="3">
        <v>0.0001</v>
      </c>
      <c r="AQ11" s="3">
        <v>0.22</v>
      </c>
    </row>
    <row r="12" spans="1:43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>
        <v>0.0</v>
      </c>
      <c r="M12" s="3">
        <v>200000.0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0.5</v>
      </c>
      <c r="AP12" s="19">
        <v>0.001</v>
      </c>
      <c r="AQ12" s="19">
        <v>0.03</v>
      </c>
    </row>
    <row r="13" spans="1:43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0.5</v>
      </c>
      <c r="AP13" s="19">
        <v>0.0002</v>
      </c>
      <c r="AQ13" s="19">
        <v>0.15</v>
      </c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shell</v>
      </c>
      <c r="B6" s="57"/>
      <c r="D6" s="56" t="str">
        <f>_xlfn.XLOOKUP(E5,mat!$A:$A, mat!$B:$B,"") &amp; ""</f>
        <v>core</v>
      </c>
      <c r="E6" s="57"/>
      <c r="G6" s="56" t="str">
        <f>_xlfn.XLOOKUP(H5,mat!$A:$A, mat!$B:$B,"") &amp; ""</f>
        <v>foundation</v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shell</v>
      </c>
      <c r="B7" s="57"/>
      <c r="D7" s="58" t="str">
        <f>IF(OR(E5="",E5="material"),_xlfn.XLOOKUP(E6,mat!$A:$A, mat!$B:$B,"") &amp; "","")</f>
        <v>core</v>
      </c>
      <c r="E7" s="57"/>
      <c r="G7" s="58" t="str">
        <f>IF(OR(H5="",H5="material"),_xlfn.XLOOKUP(H6,mat!$A:$A, mat!$B:$B,"") &amp; "","")</f>
        <v>foundation</v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0.0</v>
      </c>
      <c r="B5" s="3">
        <v>160.0</v>
      </c>
      <c r="D5" s="3">
        <v>0.0</v>
      </c>
      <c r="E5" s="3">
        <v>110.0</v>
      </c>
      <c r="G5" s="1" t="s">
        <v>18</v>
      </c>
      <c r="H5" t="s">
        <v>190</v>
      </c>
    </row>
    <row r="6" spans="1:8" x14ac:dyDescent="0.2">
      <c r="A6" s="3">
        <v>360.0</v>
      </c>
      <c r="B6" s="3">
        <v>160.0</v>
      </c>
      <c r="D6" s="3">
        <v>220.0</v>
      </c>
      <c r="E6" s="3">
        <v>110.0</v>
      </c>
      <c r="G6" s="1" t="s">
        <v>191</v>
      </c>
      <c r="H6" t="s">
        <v>192</v>
      </c>
    </row>
    <row r="7" spans="1:8" x14ac:dyDescent="0.2">
      <c r="A7" s="3">
        <v>410.0</v>
      </c>
      <c r="B7" s="3">
        <v>120.0</v>
      </c>
      <c r="D7" s="3">
        <v>360.0</v>
      </c>
      <c r="E7" s="3">
        <v>107.0</v>
      </c>
    </row>
    <row r="8" spans="1:8" x14ac:dyDescent="0.2">
      <c r="A8" s="3">
        <v>550.0</v>
      </c>
      <c r="B8" s="3">
        <v>100.0</v>
      </c>
      <c r="D8" s="3">
        <v>410.0</v>
      </c>
      <c r="E8" s="3">
        <v>103.0</v>
      </c>
    </row>
    <row r="9" spans="1:8" x14ac:dyDescent="0.2">
      <c r="A9" s="3">
        <v>750.0</v>
      </c>
      <c r="B9" s="3">
        <v>100.0</v>
      </c>
      <c r="D9" s="3">
        <v>550.0</v>
      </c>
      <c r="E9" s="3">
        <v>100.0</v>
      </c>
    </row>
    <row r="10" spans="1:8" x14ac:dyDescent="0.2">
      <c r="A10" s="3"/>
      <c r="B10" s="3"/>
      <c r="D10" s="3">
        <v>750.0</v>
      </c>
      <c r="E10" s="3">
        <v>100.0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