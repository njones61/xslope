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<sst xmlns="http://schemas.openxmlformats.org/spreadsheetml/2006/main" count="624" uniqueCount="329">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</sst>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1.2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20.0</v>
      </c>
      <c r="D11" s="3"/>
      <c r="E11" s="3" t="inlineStr">
        <is>
          <t>mc</t>
        </is>
      </c>
      <c r="F11" s="3">
        <v>30.0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 fill</t>
        </is>
      </c>
      <c r="C12" s="3">
        <v>20.0</v>
      </c>
      <c r="D12" s="3"/>
      <c r="E12" s="3" t="inlineStr">
        <is>
          <t>mc</t>
        </is>
      </c>
      <c r="F12" s="3">
        <v>5.0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-4.0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-4.0</v>
      </c>
      <c r="D10" s="3">
        <v>14.0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60.0</v>
      </c>
      <c r="B11" s="3">
        <v>-4.0</v>
      </c>
      <c r="D11" s="3">
        <v>46.0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60.0</v>
      </c>
      <c r="B12" s="3">
        <v>0.0</v>
      </c>
      <c r="D12" s="3">
        <v>36.0</v>
      </c>
      <c r="E12" s="3">
        <v>5.0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24.0</v>
      </c>
      <c r="E13" s="3">
        <v>5.0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liner</t>
        </is>
      </c>
      <c r="C3" s="3">
        <v>14.0</v>
      </c>
      <c r="D3" s="3">
        <v>0.0</v>
      </c>
      <c r="E3" s="3">
        <v>46.0</v>
      </c>
      <c r="F3" s="3">
        <v>0.0</v>
      </c>
      <c r="G3" s="3" t="inlineStr">
        <is>
          <t>Geosynthetic</t>
        </is>
      </c>
      <c r="H3" s="3" t="str">
        <f>IF($G3="","",IFERROR(VLOOKUP($G3,$AH$8:$AJ$11,2,0),""))</f>
        <v>Tangent</v>
      </c>
      <c r="I3" s="3" t="str">
        <f t="shared" ref="I3:I32" si="1">IF($G3="","",IFERROR(VLOOKUP($G3,$AH$8:$AJ$11,3,0),""))</f>
        <v>Active</v>
      </c>
      <c r="J3" s="3">
        <v>50.0</v>
      </c>
      <c r="K3" s="3">
        <v>0.0</v>
      </c>
      <c r="L3" s="3">
        <v>0.0</v>
      </c>
      <c r="M3" s="3">
        <v>0.5</v>
      </c>
      <c r="N3" s="3">
        <v>10.0</v>
      </c>
      <c r="O3" s="3">
        <v>0.0</v>
      </c>
      <c r="P3" s="3">
        <v>0.0</v>
      </c>
      <c r="Q3" s="3">
        <v>1.0</v>
      </c>
      <c r="R3" s="3"/>
      <c r="S3" s="3">
        <v>2000000.0</v>
      </c>
      <c r="T3" s="3">
        <v>0.001</v>
      </c>
      <c r="U3" s="3" t="inlineStr">
        <is>
          <t>No</t>
        </is>
      </c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