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<sst xmlns="http://schemas.openxmlformats.org/spreadsheetml/2006/main" count="624" uniqueCount="329">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</sst>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 t="inlineStr">
        <is>
          <t>tri6</t>
        </is>
      </c>
    </row>
    <row r="19" spans="2:7" x14ac:dyDescent="0.2">
      <c r="C19" s="14" t="s">
        <v>42</v>
      </c>
      <c r="F19" s="1" t="s">
        <v>40</v>
      </c>
      <c r="G19" t="s">
        <v>41</v>
      </c>
      <c r="D19">
        <v>1.2</v>
      </c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manual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foundation</t>
        </is>
      </c>
      <c r="C11" s="3">
        <v>20.0</v>
      </c>
      <c r="D11" s="3"/>
      <c r="E11" s="3" t="inlineStr">
        <is>
          <t>mc</t>
        </is>
      </c>
      <c r="F11" s="3">
        <v>30.0</v>
      </c>
      <c r="G11" s="3">
        <v>32.0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50000.0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embankment fill</t>
        </is>
      </c>
      <c r="C12" s="3">
        <v>20.0</v>
      </c>
      <c r="D12" s="3"/>
      <c r="E12" s="3" t="inlineStr">
        <is>
          <t>mc</t>
        </is>
      </c>
      <c r="F12" s="3">
        <v>5.0</v>
      </c>
      <c r="G12" s="3">
        <v>34.0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25000.0</v>
      </c>
      <c r="N12" s="3">
        <v>0.3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-4.0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0.0</v>
      </c>
      <c r="B10" s="3">
        <v>-4.0</v>
      </c>
      <c r="D10" s="3">
        <v>14.0</v>
      </c>
      <c r="E10" s="3">
        <v>0.0</v>
      </c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60.0</v>
      </c>
      <c r="B11" s="3">
        <v>-4.0</v>
      </c>
      <c r="D11" s="3">
        <v>46.0</v>
      </c>
      <c r="E11" s="3">
        <v>0.0</v>
      </c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60.0</v>
      </c>
      <c r="B12" s="3">
        <v>0.0</v>
      </c>
      <c r="D12" s="3">
        <v>36.0</v>
      </c>
      <c r="E12" s="3">
        <v>5.0</v>
      </c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0.0</v>
      </c>
      <c r="B13" s="3">
        <v>0.0</v>
      </c>
      <c r="D13" s="3">
        <v>24.0</v>
      </c>
      <c r="E13" s="3">
        <v>5.0</v>
      </c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 t="inlineStr">
        <is>
          <t>liner</t>
        </is>
      </c>
      <c r="C3" s="3">
        <v>14.0</v>
      </c>
      <c r="D3" s="3">
        <v>0.0</v>
      </c>
      <c r="E3" s="3">
        <v>46.0</v>
      </c>
      <c r="F3" s="3">
        <v>0.0</v>
      </c>
      <c r="G3" s="3" t="inlineStr">
        <is>
          <t>Geosynthetic</t>
        </is>
      </c>
      <c r="H3" s="3" t="str">
        <f>IF($G3="","",IFERROR(VLOOKUP($G3,$AH$8:$AJ$11,2,0),""))</f>
        <v/>
      </c>
      <c r="I3" s="3" t="str">
        <f t="shared" ref="I3:I32" si="1">IF($G3="","",IFERROR(VLOOKUP($G3,$AH$8:$AJ$11,3,0),""))</f>
        <v/>
      </c>
      <c r="J3" s="3">
        <v>50.0</v>
      </c>
      <c r="K3" s="3">
        <v>0.0</v>
      </c>
      <c r="L3" s="3">
        <v>0.0</v>
      </c>
      <c r="M3" s="3">
        <v>0.5</v>
      </c>
      <c r="N3" s="3">
        <v>10.0</v>
      </c>
      <c r="O3" s="3">
        <v>0.0</v>
      </c>
      <c r="P3" s="3">
        <v>0.0</v>
      </c>
      <c r="Q3" s="3">
        <v>1.0</v>
      </c>
      <c r="R3" s="3"/>
      <c r="S3" s="3">
        <v>2000000.0</v>
      </c>
      <c r="T3" s="3">
        <v>0.001</v>
      </c>
      <c r="U3" s="3" t="inlineStr">
        <is>
          <t>Yes</t>
        </is>
      </c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>IF($G4="","",IFERROR(VLOOKUP($G4,$AH$8:$AJ$11,2,0),""))</f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>IF($G5="","",IFERROR(VLOOKUP($G5,$AH$8:$AJ$11,2,0),""))</f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>IF($G6="","",IFERROR(VLOOKUP($G6,$AH$8:$AJ$11,2,0),""))</f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>IF($G7="","",IFERROR(VLOOKUP($G7,$AH$8:$AJ$11,2,0),""))</f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>IF($G8="","",IFERROR(VLOOKUP($G8,$AH$8:$AJ$11,2,0),""))</f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>IF($G9="","",IFERROR(VLOOKUP($G9,$AH$8:$AJ$11,2,0),""))</f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>IF($G10="","",IFERROR(VLOOKUP($G10,$AH$8:$AJ$11,2,0),""))</f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>IF($G11="","",IFERROR(VLOOKUP($G11,$AH$8:$AJ$11,2,0),""))</f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>IF($G12="","",IFERROR(VLOOKUP($G12,$AH$8:$AJ$11,2,0),""))</f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>IF($G13="","",IFERROR(VLOOKUP($G13,$AH$8:$AJ$11,2,0),""))</f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>IF($G14="","",IFERROR(VLOOKUP($G14,$AH$8:$AJ$11,2,0),""))</f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>IF($G15="","",IFERROR(VLOOKUP($G15,$AH$8:$AJ$11,2,0),""))</f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>IF($G16="","",IFERROR(VLOOKUP($G16,$AH$8:$AJ$11,2,0),""))</f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>IF($G17="","",IFERROR(VLOOKUP($G17,$AH$8:$AJ$11,2,0),""))</f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>IF($G18="","",IFERROR(VLOOKUP($G18,$AH$8:$AJ$11,2,0),""))</f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>IF($G19="","",IFERROR(VLOOKUP($G19,$AH$8:$AJ$11,2,0),""))</f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>IF($G20="","",IFERROR(VLOOKUP($G20,$AH$8:$AJ$11,2,0),""))</f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>IF($G21="","",IFERROR(VLOOKUP($G21,$AH$8:$AJ$11,2,0),""))</f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>IF($G22="","",IFERROR(VLOOKUP($G22,$AH$8:$AJ$11,2,0),""))</f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>IF($G23="","",IFERROR(VLOOKUP($G23,$AH$8:$AJ$11,2,0),""))</f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>IF($G24="","",IFERROR(VLOOKUP($G24,$AH$8:$AJ$11,2,0),""))</f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>IF($G25="","",IFERROR(VLOOKUP($G25,$AH$8:$AJ$11,2,0),""))</f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>IF($G26="","",IFERROR(VLOOKUP($G26,$AH$8:$AJ$11,2,0),""))</f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>IF($G27="","",IFERROR(VLOOKUP($G27,$AH$8:$AJ$11,2,0),""))</f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>IF($G28="","",IFERROR(VLOOKUP($G28,$AH$8:$AJ$11,2,0),""))</f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>IF($G29="","",IFERROR(VLOOKUP($G29,$AH$8:$AJ$11,2,0),""))</f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>IF($G30="","",IFERROR(VLOOKUP($G30,$AH$8:$AJ$11,2,0),""))</f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>IF($G31="","",IFERROR(VLOOKUP($G31,$AH$8:$AJ$11,2,0),""))</f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>IF($G32="","",IFERROR(VLOOKUP($G32,$AH$8:$AJ$11,2,0),""))</f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