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<sst xmlns="http://schemas.openxmlformats.org/spreadsheetml/2006/main" count="624" uniqueCount="329">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</sst>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5.0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-4.0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-4.0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-4.0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liner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>Tangent</v>
      </c>
      <c r="I3" s="3" t="str">
        <f t="shared" ref="I3:I32" si="1">IF($G3="","",IFERROR(VLOOKUP($G3,$AH$8:$AJ$11,3,0),""))</f>
        <v>Active</v>
      </c>
      <c r="J3" s="3">
        <v>50.0</v>
      </c>
      <c r="K3" s="3">
        <v>0.0</v>
      </c>
      <c r="L3" s="3">
        <v>0.0</v>
      </c>
      <c r="M3" s="3">
        <v>0.5</v>
      </c>
      <c r="N3" s="3">
        <v>10.0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