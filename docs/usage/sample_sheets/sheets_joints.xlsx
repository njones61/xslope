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<sst xmlns="http://schemas.openxmlformats.org/spreadsheetml/2006/main" count="624" uniqueCount="329">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</sst>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30.0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 t="inlineStr">
        <is>
          <t>Geosynthetic</t>
        </is>
      </c>
      <c r="H3" s="3" t="str">
        <f>IF($G3="","",IFERROR(VLOOKUP($G3,$AH$8:$AJ$11,2,0),""))</f>
        <v>Tangent</v>
      </c>
      <c r="I3" s="3" t="str">
        <f t="shared" ref="I3:I32" si="1">IF($G3="","",IFERROR(VLOOKUP($G3,$AH$8:$AJ$11,3,0),""))</f>
        <v>Active</v>
      </c>
      <c r="J3" s="3">
        <v>800.0</v>
      </c>
      <c r="K3" s="3">
        <v>4.0</v>
      </c>
      <c r="L3" s="3">
        <v>4.0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 t="inlineStr">
        <is>
          <t>Geosynthetic</t>
        </is>
      </c>
      <c r="H4" s="3" t="str">
        <f>IF($G4="","",IFERROR(VLOOKUP($G4,$AH$8:$AJ$11,2,0),""))</f>
        <v>Tangent</v>
      </c>
      <c r="I4" s="3" t="str">
        <f t="shared" si="1"/>
        <v>Active</v>
      </c>
      <c r="J4" s="3">
        <v>800.0</v>
      </c>
      <c r="K4" s="3">
        <v>4.0</v>
      </c>
      <c r="L4" s="3">
        <v>4.0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 t="inlineStr">
        <is>
          <t>Geosynthetic</t>
        </is>
      </c>
      <c r="H5" s="3" t="str">
        <f>IF($G5="","",IFERROR(VLOOKUP($G5,$AH$8:$AJ$11,2,0),""))</f>
        <v>Tangent</v>
      </c>
      <c r="I5" s="3" t="str">
        <f t="shared" si="1"/>
        <v>Active</v>
      </c>
      <c r="J5" s="3">
        <v>800.0</v>
      </c>
      <c r="K5" s="3">
        <v>4.0</v>
      </c>
      <c r="L5" s="3">
        <v>4.0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 t="inlineStr">
        <is>
          <t>Geosynthetic</t>
        </is>
      </c>
      <c r="H6" s="3" t="str">
        <f>IF($G6="","",IFERROR(VLOOKUP($G6,$AH$8:$AJ$11,2,0),""))</f>
        <v>Tangent</v>
      </c>
      <c r="I6" s="3" t="str">
        <f t="shared" si="1"/>
        <v>Active</v>
      </c>
      <c r="J6" s="3">
        <v>800.0</v>
      </c>
      <c r="K6" s="3">
        <v>4.0</v>
      </c>
      <c r="L6" s="3">
        <v>4.0</v>
      </c>
      <c r="M6" s="3"/>
      <c r="N6" s="3"/>
      <c r="O6" s="3">
        <v>0.0</v>
      </c>
      <c r="P6" s="3">
        <v>0.0</v>
      </c>
      <c r="Q6" s="3">
        <v>1.0</v>
      </c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 t="inlineStr">
        <is>
          <t>Geosynthetic</t>
        </is>
      </c>
      <c r="H7" s="3" t="str">
        <f>IF($G7="","",IFERROR(VLOOKUP($G7,$AH$8:$AJ$11,2,0),""))</f>
        <v>Tangent</v>
      </c>
      <c r="I7" s="3" t="str">
        <f t="shared" si="1"/>
        <v>Active</v>
      </c>
      <c r="J7" s="3">
        <v>800.0</v>
      </c>
      <c r="K7" s="3">
        <v>4.0</v>
      </c>
      <c r="L7" s="3">
        <v>4.0</v>
      </c>
      <c r="M7" s="3"/>
      <c r="N7" s="3"/>
      <c r="O7" s="3">
        <v>0.0</v>
      </c>
      <c r="P7" s="3">
        <v>0.0</v>
      </c>
      <c r="Q7" s="3">
        <v>1.0</v>
      </c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 t="inlineStr">
        <is>
          <t>Geosynthetic</t>
        </is>
      </c>
      <c r="H8" s="3" t="str">
        <f>IF($G8="","",IFERROR(VLOOKUP($G8,$AH$8:$AJ$11,2,0),""))</f>
        <v>Tangent</v>
      </c>
      <c r="I8" s="3" t="str">
        <f t="shared" si="1"/>
        <v>Active</v>
      </c>
      <c r="J8" s="3">
        <v>800.0</v>
      </c>
      <c r="K8" s="3">
        <v>4.0</v>
      </c>
      <c r="L8" s="3">
        <v>4.0</v>
      </c>
      <c r="M8" s="3"/>
      <c r="N8" s="3"/>
      <c r="O8" s="3">
        <v>0.0</v>
      </c>
      <c r="P8" s="3">
        <v>0.0</v>
      </c>
      <c r="Q8" s="3">
        <v>1.0</v>
      </c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Bedding plane</t>
        </is>
      </c>
      <c r="C3" s="3">
        <v>-20.0</v>
      </c>
      <c r="D3" s="3">
        <v>-4.0</v>
      </c>
      <c r="E3" s="3">
        <v>90.0</v>
      </c>
      <c r="F3" s="3">
        <v>-1.0</v>
      </c>
      <c r="G3" s="3">
        <v>100.0</v>
      </c>
      <c r="H3" s="3">
        <v>24.0</v>
      </c>
      <c r="I3" s="3">
        <v>20.0</v>
      </c>
      <c r="J3" s="3">
        <v>20.0</v>
      </c>
      <c r="K3" s="3"/>
      <c r="L3" s="3"/>
      <c r="M3" s="3"/>
      <c r="N3" s="3"/>
      <c r="O3" s="3"/>
    </row>
    <row r="4" spans="1:18" x14ac:dyDescent="0.2">
      <c r="A4" s="3">
        <v>2</v>
      </c>
      <c r="B4" s="3" t="inlineStr">
        <is>
          <t>Rock joint</t>
        </is>
      </c>
      <c r="C4" s="3">
        <v>20.0</v>
      </c>
      <c r="D4" s="3">
        <v>16.0</v>
      </c>
      <c r="E4" s="3">
        <v>44.0</v>
      </c>
      <c r="F4" s="3">
        <v>-8.0</v>
      </c>
      <c r="G4" s="3"/>
      <c r="H4" s="3">
        <v>32.0</v>
      </c>
      <c r="I4" s="3"/>
      <c r="J4" s="3"/>
      <c r="K4" s="3">
        <v>8.0</v>
      </c>
      <c r="L4" s="3">
        <v>300.0</v>
      </c>
      <c r="M4" s="3">
        <v>200000.0</v>
      </c>
      <c r="N4" s="3">
        <v>80000.0</v>
      </c>
      <c r="O4" s="3"/>
    </row>
    <row r="5" spans="1:18" x14ac:dyDescent="0.2">
      <c r="A5" s="3">
        <v>3</v>
      </c>
      <c r="B5" s="3" t="inlineStr">
        <is>
          <t>Wall back face</t>
        </is>
      </c>
      <c r="C5" s="3">
        <v>60.0</v>
      </c>
      <c r="D5" s="3">
        <v>24.0</v>
      </c>
      <c r="E5" s="3">
        <v>60.0</v>
      </c>
      <c r="F5" s="3">
        <v>6.0</v>
      </c>
      <c r="G5" s="3"/>
      <c r="H5" s="3">
        <v>20.0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Wall base</t>
        </is>
      </c>
      <c r="C6" s="3">
        <v>56.0</v>
      </c>
      <c r="D6" s="3">
        <v>6.0</v>
      </c>
      <c r="E6" s="3">
        <v>60.0</v>
      </c>
      <c r="F6" s="3">
        <v>6.0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 t="inlineStr">
        <is>
          <t>No</t>
        </is>
      </c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