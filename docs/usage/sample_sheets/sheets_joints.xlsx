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42723C2E-F56A-D348-AC02-78080B1F6523}" xr6:coauthVersionLast="47" xr6:coauthVersionMax="47" xr10:uidLastSave="{00000000-0000-0000-0000-000000000000}"/>
  <bookViews>
    <workbookView xWindow="9960" yWindow="2320" windowWidth="3038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<sst xmlns="http://schemas.openxmlformats.org/spreadsheetml/2006/main" count="621" uniqueCount="326">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</sst>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308428</xdr:colOff>
      <xdr:row>2</xdr:row>
      <xdr:rowOff>172358</xdr:rowOff>
    </xdr:from>
    <xdr:to>
      <xdr:col>17</xdr:col>
      <xdr:colOff>381000</xdr:colOff>
      <xdr:row>10</xdr:row>
      <xdr:rowOff>81643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9760857" y="571501"/>
          <a:ext cx="3701143" cy="150585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-10.0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24.0</v>
      </c>
      <c r="D10" s="3">
        <v>2.0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32.0</v>
      </c>
      <c r="B11" s="3">
        <v>24.0</v>
      </c>
      <c r="D11" s="3">
        <v>32.0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100.0</v>
      </c>
      <c r="E12" s="3">
        <v>24.0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15.0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>
        <v>30.0</v>
      </c>
      <c r="C7" s="3">
        <v>24.0</v>
      </c>
      <c r="D7" s="3">
        <v>240.0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100.0</v>
      </c>
      <c r="C8" s="3">
        <v>24.0</v>
      </c>
      <c r="D8" s="3">
        <v>240.0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Line 1</t>
        </is>
      </c>
      <c r="C3" s="3">
        <v>0.0</v>
      </c>
      <c r="D3" s="3">
        <v>0.0</v>
      </c>
      <c r="E3" s="3">
        <v>20.0</v>
      </c>
      <c r="F3" s="3">
        <v>0.0</v>
      </c>
      <c r="G3" s="3" t="inlineStr">
        <is>
          <t>Geosynthetic</t>
        </is>
      </c>
      <c r="H3" s="3" t="str">
        <f>IF($G3="","",IFERROR(VLOOKUP($G3,$AH$8:$AJ$11,2,0),""))</f>
        <v/>
      </c>
      <c r="I3" s="3" t="str">
        <f t="shared" ref="I3:I32" si="1">IF($G3="","",IFERROR(VLOOKUP($G3,$AH$8:$AJ$11,3,0),""))</f>
        <v/>
      </c>
      <c r="J3" s="3">
        <v>800.0</v>
      </c>
      <c r="K3" s="3">
        <v>4.0</v>
      </c>
      <c r="L3" s="3">
        <v>4.0</v>
      </c>
      <c r="M3" s="3"/>
      <c r="N3" s="3"/>
      <c r="O3" s="3">
        <v>0.0</v>
      </c>
      <c r="P3" s="3">
        <v>0.0</v>
      </c>
      <c r="Q3" s="3">
        <v>1.0</v>
      </c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Line 2</t>
        </is>
      </c>
      <c r="C4" s="3">
        <v>5.0</v>
      </c>
      <c r="D4" s="3">
        <v>4.0</v>
      </c>
      <c r="E4" s="3">
        <v>25.0</v>
      </c>
      <c r="F4" s="3">
        <v>4.0</v>
      </c>
      <c r="G4" s="3" t="inlineStr">
        <is>
          <t>Geosynthetic</t>
        </is>
      </c>
      <c r="H4" s="3" t="str">
        <f>IF($G4="","",IFERROR(VLOOKUP($G4,$AH$8:$AJ$11,2,0),""))</f>
        <v/>
      </c>
      <c r="I4" s="3" t="str">
        <f t="shared" si="1"/>
        <v/>
      </c>
      <c r="J4" s="3">
        <v>800.0</v>
      </c>
      <c r="K4" s="3">
        <v>4.0</v>
      </c>
      <c r="L4" s="3">
        <v>4.0</v>
      </c>
      <c r="M4" s="3"/>
      <c r="N4" s="3"/>
      <c r="O4" s="3">
        <v>0.0</v>
      </c>
      <c r="P4" s="3">
        <v>0.0</v>
      </c>
      <c r="Q4" s="3">
        <v>1.0</v>
      </c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Line 3</t>
        </is>
      </c>
      <c r="C5" s="3">
        <v>10.0</v>
      </c>
      <c r="D5" s="3">
        <v>8.0</v>
      </c>
      <c r="E5" s="3">
        <v>30.0</v>
      </c>
      <c r="F5" s="3">
        <v>8.0</v>
      </c>
      <c r="G5" s="3" t="inlineStr">
        <is>
          <t>Geosynthetic</t>
        </is>
      </c>
      <c r="H5" s="3" t="str">
        <f>IF($G5="","",IFERROR(VLOOKUP($G5,$AH$8:$AJ$11,2,0),""))</f>
        <v/>
      </c>
      <c r="I5" s="3" t="str">
        <f t="shared" si="1"/>
        <v/>
      </c>
      <c r="J5" s="3">
        <v>800.0</v>
      </c>
      <c r="K5" s="3">
        <v>4.0</v>
      </c>
      <c r="L5" s="3">
        <v>4.0</v>
      </c>
      <c r="M5" s="3"/>
      <c r="N5" s="3"/>
      <c r="O5" s="3">
        <v>0.0</v>
      </c>
      <c r="P5" s="3">
        <v>0.0</v>
      </c>
      <c r="Q5" s="3">
        <v>1.0</v>
      </c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 t="inlineStr">
        <is>
          <t>Line 4</t>
        </is>
      </c>
      <c r="C6" s="3">
        <v>15.0</v>
      </c>
      <c r="D6" s="3">
        <v>12.0</v>
      </c>
      <c r="E6" s="3">
        <v>35.0</v>
      </c>
      <c r="F6" s="3">
        <v>12.0</v>
      </c>
      <c r="G6" s="3" t="inlineStr">
        <is>
          <t>Geosynthetic</t>
        </is>
      </c>
      <c r="H6" s="3" t="str">
        <f>IF($G6="","",IFERROR(VLOOKUP($G6,$AH$8:$AJ$11,2,0),""))</f>
        <v/>
      </c>
      <c r="I6" s="3" t="str">
        <f t="shared" si="1"/>
        <v/>
      </c>
      <c r="J6" s="3">
        <v>800.0</v>
      </c>
      <c r="K6" s="3">
        <v>4.0</v>
      </c>
      <c r="L6" s="3">
        <v>4.0</v>
      </c>
      <c r="M6" s="3"/>
      <c r="N6" s="3"/>
      <c r="O6" s="3">
        <v>0.0</v>
      </c>
      <c r="P6" s="3">
        <v>0.0</v>
      </c>
      <c r="Q6" s="3">
        <v>1.0</v>
      </c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 t="inlineStr">
        <is>
          <t>Line 5</t>
        </is>
      </c>
      <c r="C7" s="3">
        <v>20.0</v>
      </c>
      <c r="D7" s="3">
        <v>16.0</v>
      </c>
      <c r="E7" s="3">
        <v>40.0</v>
      </c>
      <c r="F7" s="3">
        <v>16.0</v>
      </c>
      <c r="G7" s="3" t="inlineStr">
        <is>
          <t>Geosynthetic</t>
        </is>
      </c>
      <c r="H7" s="3" t="str">
        <f>IF($G7="","",IFERROR(VLOOKUP($G7,$AH$8:$AJ$11,2,0),""))</f>
        <v/>
      </c>
      <c r="I7" s="3" t="str">
        <f t="shared" si="1"/>
        <v/>
      </c>
      <c r="J7" s="3">
        <v>800.0</v>
      </c>
      <c r="K7" s="3">
        <v>4.0</v>
      </c>
      <c r="L7" s="3">
        <v>4.0</v>
      </c>
      <c r="M7" s="3"/>
      <c r="N7" s="3"/>
      <c r="O7" s="3">
        <v>0.0</v>
      </c>
      <c r="P7" s="3">
        <v>0.0</v>
      </c>
      <c r="Q7" s="3">
        <v>1.0</v>
      </c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 t="inlineStr">
        <is>
          <t>Line 6</t>
        </is>
      </c>
      <c r="C8" s="3">
        <v>25.0</v>
      </c>
      <c r="D8" s="3">
        <v>20.0</v>
      </c>
      <c r="E8" s="3">
        <v>45.0</v>
      </c>
      <c r="F8" s="3">
        <v>20.0</v>
      </c>
      <c r="G8" s="3" t="inlineStr">
        <is>
          <t>Geosynthetic</t>
        </is>
      </c>
      <c r="H8" s="3" t="str">
        <f>IF($G8="","",IFERROR(VLOOKUP($G8,$AH$8:$AJ$11,2,0),""))</f>
        <v/>
      </c>
      <c r="I8" s="3" t="str">
        <f t="shared" si="1"/>
        <v/>
      </c>
      <c r="J8" s="3">
        <v>800.0</v>
      </c>
      <c r="K8" s="3">
        <v>4.0</v>
      </c>
      <c r="L8" s="3">
        <v>4.0</v>
      </c>
      <c r="M8" s="3"/>
      <c r="N8" s="3"/>
      <c r="O8" s="3">
        <v>0.0</v>
      </c>
      <c r="P8" s="3">
        <v>0.0</v>
      </c>
      <c r="Q8" s="3">
        <v>1.0</v>
      </c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IF($G9="","",IFERROR(VLOOKUP($G9,$AH$8:$AJ$11,2,0),""))</f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IF($G10="","",IFERROR(VLOOKUP($G10,$AH$8:$AJ$11,2,0),""))</f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IF($G11="","",IFERROR(VLOOKUP($G11,$AH$8:$AJ$11,2,0),""))</f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IF($G12="","",IFERROR(VLOOKUP($G12,$AH$8:$AJ$11,2,0),""))</f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IF($G13="","",IFERROR(VLOOKUP($G13,$AH$8:$AJ$11,2,0),""))</f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IF($G14="","",IFERROR(VLOOKUP($G14,$AH$8:$AJ$11,2,0),""))</f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IF($G15="","",IFERROR(VLOOKUP($G15,$AH$8:$AJ$11,2,0),""))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IF($G16="","",IFERROR(VLOOKUP($G16,$AH$8:$AJ$11,2,0),""))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IF($G17="","",IFERROR(VLOOKUP($G17,$AH$8:$AJ$11,2,0),""))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O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2" width="10.83203125" style="1" customWidth="1"/>
    <col min="13" max="13" width="4.33203125" customWidth="1"/>
  </cols>
  <sheetData>
    <row r="2" spans="1:15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120</v>
      </c>
      <c r="J2" s="28" t="s">
        <v>320</v>
      </c>
      <c r="K2" s="28" t="s">
        <v>321</v>
      </c>
      <c r="L2" s="28" t="s">
        <v>322</v>
      </c>
      <c r="N2" s="29"/>
      <c r="O2" s="9" t="s">
        <v>103</v>
      </c>
    </row>
    <row r="3" spans="1:15" x14ac:dyDescent="0.2">
      <c r="A3" s="3">
        <v>1</v>
      </c>
      <c r="B3" s="3" t="inlineStr">
        <is>
          <t>Bedding plane</t>
        </is>
      </c>
      <c r="C3" s="3">
        <v>-20.0</v>
      </c>
      <c r="D3" s="3">
        <v>-4.0</v>
      </c>
      <c r="E3" s="3">
        <v>90.0</v>
      </c>
      <c r="F3" s="3">
        <v>-1.0</v>
      </c>
      <c r="G3" s="3">
        <v>100.0</v>
      </c>
      <c r="H3" s="3">
        <v>24.0</v>
      </c>
      <c r="I3" s="3"/>
      <c r="J3" s="3"/>
      <c r="K3" s="3"/>
      <c r="L3" s="3"/>
    </row>
    <row r="4" spans="1:15" x14ac:dyDescent="0.2">
      <c r="A4" s="3">
        <v>2</v>
      </c>
      <c r="B4" s="3" t="inlineStr">
        <is>
          <t>Rock joint</t>
        </is>
      </c>
      <c r="C4" s="3">
        <v>20.0</v>
      </c>
      <c r="D4" s="3">
        <v>16.0</v>
      </c>
      <c r="E4" s="3">
        <v>44.0</v>
      </c>
      <c r="F4" s="3">
        <v>-8.0</v>
      </c>
      <c r="G4" s="3"/>
      <c r="H4" s="3">
        <v>32.0</v>
      </c>
      <c r="I4" s="3">
        <v>300.0</v>
      </c>
      <c r="J4" s="3">
        <v>200000.0</v>
      </c>
      <c r="K4" s="3">
        <v>80000.0</v>
      </c>
      <c r="L4" s="3"/>
    </row>
    <row r="5" spans="1:15" x14ac:dyDescent="0.2">
      <c r="A5" s="3">
        <v>3</v>
      </c>
      <c r="B5" s="3" t="inlineStr">
        <is>
          <t>Wall back face</t>
        </is>
      </c>
      <c r="C5" s="3">
        <v>60.0</v>
      </c>
      <c r="D5" s="3">
        <v>24.0</v>
      </c>
      <c r="E5" s="3">
        <v>60.0</v>
      </c>
      <c r="F5" s="3">
        <v>6.0</v>
      </c>
      <c r="G5" s="3"/>
      <c r="H5" s="3">
        <v>20.0</v>
      </c>
      <c r="I5" s="3"/>
      <c r="J5" s="3">
        <v>100000.0</v>
      </c>
      <c r="K5" s="3">
        <v>100000.0</v>
      </c>
      <c r="L5" s="3"/>
    </row>
    <row r="6" spans="1:15" x14ac:dyDescent="0.2">
      <c r="A6" s="3">
        <v>4</v>
      </c>
      <c r="B6" s="3" t="inlineStr">
        <is>
          <t>Wall base</t>
        </is>
      </c>
      <c r="C6" s="3">
        <v>56.0</v>
      </c>
      <c r="D6" s="3">
        <v>6.0</v>
      </c>
      <c r="E6" s="3">
        <v>60.0</v>
      </c>
      <c r="F6" s="3">
        <v>6.0</v>
      </c>
      <c r="G6" s="3"/>
      <c r="H6" s="3">
        <v>34.0</v>
      </c>
      <c r="I6" s="3"/>
      <c r="J6" s="3">
        <v>100000.0</v>
      </c>
      <c r="K6" s="3">
        <v>100000.0</v>
      </c>
      <c r="L6" s="3" t="inlineStr">
        <is>
          <t>No</t>
        </is>
      </c>
    </row>
    <row r="7" spans="1:15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</row>
    <row r="8" spans="1:15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</row>
    <row r="9" spans="1:15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0" spans="1:15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</row>
    <row r="11" spans="1:15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1:15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</row>
    <row r="13" spans="1:15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</row>
    <row r="14" spans="1:15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</row>
    <row r="15" spans="1:15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</row>
    <row r="16" spans="1:15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</row>
    <row r="17" spans="1:12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</row>
    <row r="18" spans="1:12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</row>
    <row r="19" spans="1:12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</row>
    <row r="20" spans="1:12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</row>
    <row r="21" spans="1:12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 spans="1:12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</row>
    <row r="23" spans="1:12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12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</row>
    <row r="28" spans="1:12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12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</row>
    <row r="30" spans="1:12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12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</row>
    <row r="32" spans="1:12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</sheetData>
  <dataValidations count="1">
    <dataValidation type="list" allowBlank="1" showInputMessage="1" showErrorMessage="1" sqref="L3:L3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2026-09-10T17:00:05Z</dcterms:modified>
</cp:coreProperties>
</file>