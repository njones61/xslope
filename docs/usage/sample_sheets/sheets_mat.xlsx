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E9AE3CBE-0B2A-ED44-BB50-AACC6A5490D5}" xr6:coauthVersionLast="47" xr6:coauthVersionMax="47" xr10:uidLastSave="{00000000-0000-0000-0000-000000000000}"/>
  <bookViews>
    <workbookView xWindow="0" yWindow="600" windowWidth="3504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<sst xmlns="http://schemas.openxmlformats.org/spreadsheetml/2006/main" count="451" uniqueCount="240">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</sst>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1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D8" sqref="D8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17</v>
      </c>
    </row>
    <row r="7" spans="1:7" x14ac:dyDescent="0.2">
      <c r="B7" s="50" t="s">
        <v>47</v>
      </c>
      <c r="C7" s="50"/>
      <c r="D7" s="50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N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0" width="8.5" customWidth="1"/>
  </cols>
  <sheetData>
    <row r="2" spans="1:40" x14ac:dyDescent="0.2">
      <c r="C2" s="6" t="s">
        <v>67</v>
      </c>
      <c r="E2"/>
      <c r="F2"/>
      <c r="G2"/>
      <c r="N2" s="6" t="s">
        <v>237</v>
      </c>
      <c r="Q2" s="6" t="s">
        <v>170</v>
      </c>
      <c r="AD2" s="6"/>
      <c r="AJ2" s="6" t="s">
        <v>169</v>
      </c>
    </row>
    <row r="3" spans="1:40" x14ac:dyDescent="0.2">
      <c r="C3" s="1" t="s">
        <v>66</v>
      </c>
      <c r="D3" t="s">
        <v>68</v>
      </c>
      <c r="F3"/>
      <c r="G3"/>
      <c r="Q3" s="1" t="s">
        <v>86</v>
      </c>
      <c r="R3" t="s">
        <v>58</v>
      </c>
      <c r="AD3" s="14"/>
      <c r="AJ3" s="1" t="s">
        <v>166</v>
      </c>
      <c r="AK3" t="s">
        <v>168</v>
      </c>
    </row>
    <row r="4" spans="1:40" x14ac:dyDescent="0.2">
      <c r="C4" s="1" t="s">
        <v>69</v>
      </c>
      <c r="D4" t="s">
        <v>70</v>
      </c>
      <c r="F4"/>
      <c r="G4"/>
      <c r="N4" s="42"/>
      <c r="O4" t="s">
        <v>161</v>
      </c>
      <c r="Q4" s="1" t="s">
        <v>21</v>
      </c>
      <c r="R4" t="s">
        <v>59</v>
      </c>
      <c r="AD4" s="14"/>
      <c r="AJ4" s="1" t="s">
        <v>167</v>
      </c>
      <c r="AK4" t="s">
        <v>204</v>
      </c>
    </row>
    <row r="5" spans="1:40" x14ac:dyDescent="0.2">
      <c r="C5" s="1" t="s">
        <v>171</v>
      </c>
      <c r="D5" t="s">
        <v>191</v>
      </c>
      <c r="N5" s="26"/>
      <c r="O5" s="9" t="s">
        <v>162</v>
      </c>
      <c r="Q5" s="1" t="s">
        <v>87</v>
      </c>
      <c r="R5" s="9" t="s">
        <v>85</v>
      </c>
      <c r="AD5" s="14"/>
      <c r="AJ5" s="1" t="s">
        <v>202</v>
      </c>
      <c r="AK5" s="9" t="s">
        <v>203</v>
      </c>
    </row>
    <row r="6" spans="1:40" x14ac:dyDescent="0.2">
      <c r="C6" s="1" t="s">
        <v>201</v>
      </c>
      <c r="D6" s="9" t="s">
        <v>207</v>
      </c>
      <c r="N6" s="29"/>
      <c r="O6" s="9" t="s">
        <v>163</v>
      </c>
      <c r="Q6" s="1" t="s">
        <v>172</v>
      </c>
      <c r="R6" t="s">
        <v>190</v>
      </c>
      <c r="AE6" s="1"/>
      <c r="AF6" s="1"/>
    </row>
    <row r="7" spans="1:40" x14ac:dyDescent="0.2">
      <c r="C7" s="1" t="s">
        <v>233</v>
      </c>
      <c r="D7" s="9" t="s">
        <v>234</v>
      </c>
      <c r="AE7" s="1"/>
      <c r="AF7" s="1"/>
    </row>
    <row r="9" spans="1:40" x14ac:dyDescent="0.2">
      <c r="C9" s="51" t="s">
        <v>236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 t="s">
        <v>57</v>
      </c>
      <c r="AB9" s="51"/>
      <c r="AC9" s="51"/>
      <c r="AD9" s="51"/>
      <c r="AE9" s="51"/>
      <c r="AF9" s="51"/>
      <c r="AG9" s="51" t="s">
        <v>91</v>
      </c>
      <c r="AH9" s="51"/>
      <c r="AI9" s="51"/>
      <c r="AJ9" s="51"/>
      <c r="AK9" s="51"/>
      <c r="AL9" s="51"/>
      <c r="AM9" s="51"/>
      <c r="AN9" s="51"/>
    </row>
    <row r="10" spans="1:40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49" t="s">
        <v>238</v>
      </c>
      <c r="M10" s="49" t="s">
        <v>239</v>
      </c>
      <c r="N10" s="21" t="s">
        <v>235</v>
      </c>
      <c r="O10" s="21" t="s">
        <v>97</v>
      </c>
      <c r="P10" s="43" t="s">
        <v>211</v>
      </c>
      <c r="Q10" s="44" t="s">
        <v>84</v>
      </c>
      <c r="R10" s="44" t="s">
        <v>172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</row>
    <row r="11" spans="1:40" x14ac:dyDescent="0.2">
      <c r="A11" s="3">
        <v>1</v>
      </c>
      <c r="B11" s="3" t="inlineStr">
        <is>
          <t>Embankment</t>
        </is>
      </c>
      <c r="C11" s="3">
        <v>125</v>
      </c>
      <c r="D11" s="3">
        <v>128</v>
      </c>
      <c r="E11" s="3" t="inlineStr">
        <is>
          <t>mc</t>
        </is>
      </c>
      <c r="F11" s="3">
        <v>50</v>
      </c>
      <c r="G11" s="3">
        <v>32</v>
      </c>
      <c r="H11" s="3"/>
      <c r="I11" s="3"/>
      <c r="J11" s="3">
        <v>300</v>
      </c>
      <c r="K11" s="3">
        <v>20</v>
      </c>
      <c r="L11" s="3">
        <v>15</v>
      </c>
      <c r="M11" s="3">
        <v>1000</v>
      </c>
      <c r="N11" s="3">
        <v>20</v>
      </c>
      <c r="O11" s="3">
        <v>30000</v>
      </c>
      <c r="P11" s="3">
        <v>0.33</v>
      </c>
      <c r="Q11" s="3" t="inlineStr">
        <is>
          <t>piezo</t>
        </is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>
        <v>15</v>
      </c>
      <c r="AC11" s="3">
        <v>3</v>
      </c>
      <c r="AD11" s="3"/>
      <c r="AE11" s="3"/>
      <c r="AF11" s="3"/>
      <c r="AG11" s="3">
        <v>5e-05</v>
      </c>
      <c r="AH11" s="3">
        <v>5e-05</v>
      </c>
      <c r="AI11" s="3">
        <v>0</v>
      </c>
      <c r="AJ11" s="3" t="inlineStr">
        <is>
          <t>lf</t>
        </is>
      </c>
      <c r="AK11" s="3">
        <v>0.001</v>
      </c>
      <c r="AL11" s="3">
        <v>-1</v>
      </c>
      <c r="AM11" s="3"/>
      <c r="AN11" s="3"/>
    </row>
    <row r="12" spans="1:40" x14ac:dyDescent="0.2">
      <c r="A12" s="3">
        <v>2</v>
      </c>
      <c r="B12" s="3" t="inlineStr">
        <is>
          <t>Soft Clay</t>
        </is>
      </c>
      <c r="C12" s="3">
        <v>118</v>
      </c>
      <c r="D12" s="3">
        <v>122</v>
      </c>
      <c r="E12" s="3" t="inlineStr">
        <is>
          <t>cp</t>
        </is>
      </c>
      <c r="F12" s="3">
        <v>600</v>
      </c>
      <c r="G12" s="3"/>
      <c r="H12" s="3">
        <v>12</v>
      </c>
      <c r="I12" s="3">
        <v>95</v>
      </c>
      <c r="J12" s="3"/>
      <c r="K12" s="3"/>
      <c r="L12" s="3"/>
      <c r="M12" s="3"/>
      <c r="N12" s="3">
        <v>0</v>
      </c>
      <c r="O12" s="3">
        <v>8000</v>
      </c>
      <c r="P12" s="3">
        <v>0.4</v>
      </c>
      <c r="Q12" s="3" t="inlineStr">
        <is>
          <t>piezo</t>
        </is>
      </c>
      <c r="R12" s="3"/>
      <c r="S12" s="3"/>
      <c r="T12" s="3"/>
      <c r="U12" s="3"/>
      <c r="V12" s="3"/>
      <c r="W12" s="3"/>
      <c r="X12" s="3"/>
      <c r="Y12" s="3"/>
      <c r="Z12" s="3"/>
      <c r="AA12" s="3"/>
      <c r="AB12" s="3">
        <v>60</v>
      </c>
      <c r="AC12" s="3"/>
      <c r="AD12" s="3">
        <v>2</v>
      </c>
      <c r="AE12" s="3"/>
      <c r="AF12" s="3"/>
      <c r="AG12" s="3">
        <v>1e-07</v>
      </c>
      <c r="AH12" s="3">
        <v>1e-07</v>
      </c>
      <c r="AI12" s="3">
        <v>0</v>
      </c>
      <c r="AJ12" s="3" t="inlineStr">
        <is>
          <t>lf</t>
        </is>
      </c>
      <c r="AK12" s="3">
        <v>0.001</v>
      </c>
      <c r="AL12" s="3">
        <v>-1</v>
      </c>
      <c r="AM12" s="18"/>
      <c r="AN12" s="19"/>
    </row>
    <row r="13" spans="1:40" x14ac:dyDescent="0.2">
      <c r="A13" s="3">
        <v>3</v>
      </c>
      <c r="B13" s="3" t="inlineStr">
        <is>
          <t>Rockfill</t>
        </is>
      </c>
      <c r="C13" s="3">
        <v>140</v>
      </c>
      <c r="D13" s="3"/>
      <c r="E13" s="3" t="inlineStr">
        <is>
          <t>pow</t>
        </is>
      </c>
      <c r="F13" s="3"/>
      <c r="G13" s="3"/>
      <c r="H13" s="3"/>
      <c r="I13" s="3"/>
      <c r="J13" s="3"/>
      <c r="K13" s="3"/>
      <c r="L13" s="3"/>
      <c r="M13" s="3"/>
      <c r="N13" s="3"/>
      <c r="O13" s="3">
        <v>50000</v>
      </c>
      <c r="P13" s="3">
        <v>0.3</v>
      </c>
      <c r="Q13" s="3" t="inlineStr">
        <is>
          <t>none</t>
        </is>
      </c>
      <c r="R13" s="3"/>
      <c r="S13" s="3">
        <v>5.5</v>
      </c>
      <c r="T13" s="3">
        <v>0.82</v>
      </c>
      <c r="U13" s="3">
        <v>0</v>
      </c>
      <c r="V13" s="3">
        <v>10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>
        <v>0.01</v>
      </c>
      <c r="AH13" s="3">
        <v>0.01</v>
      </c>
      <c r="AI13" s="3">
        <v>0</v>
      </c>
      <c r="AJ13" s="3" t="inlineStr">
        <is>
          <t>lf</t>
        </is>
      </c>
      <c r="AK13" s="3">
        <v>0.001</v>
      </c>
      <c r="AL13" s="3">
        <v>-1</v>
      </c>
      <c r="AM13" s="18"/>
      <c r="AN13" s="19"/>
    </row>
    <row r="14" spans="1:40" x14ac:dyDescent="0.2">
      <c r="A14" s="3">
        <v>4</v>
      </c>
      <c r="B14" s="3" t="inlineStr">
        <is>
          <t>Weathered Rock</t>
        </is>
      </c>
      <c r="C14" s="3">
        <v>155</v>
      </c>
      <c r="D14" s="3"/>
      <c r="E14" s="3" t="inlineStr">
        <is>
          <t>hb</t>
        </is>
      </c>
      <c r="F14" s="3"/>
      <c r="G14" s="3"/>
      <c r="H14" s="3"/>
      <c r="I14" s="3"/>
      <c r="J14" s="3"/>
      <c r="K14" s="3"/>
      <c r="L14" s="3"/>
      <c r="M14" s="3"/>
      <c r="N14" s="3"/>
      <c r="O14" s="3">
        <v>500000</v>
      </c>
      <c r="P14" s="3">
        <v>0.25</v>
      </c>
      <c r="Q14" s="3" t="inlineStr">
        <is>
          <t>none</t>
        </is>
      </c>
      <c r="R14" s="3"/>
      <c r="S14" s="3"/>
      <c r="T14" s="3"/>
      <c r="U14" s="3"/>
      <c r="V14" s="3"/>
      <c r="W14" s="3">
        <v>25000</v>
      </c>
      <c r="X14" s="3">
        <v>45</v>
      </c>
      <c r="Y14" s="3">
        <v>8</v>
      </c>
      <c r="Z14" s="3">
        <v>0</v>
      </c>
      <c r="AA14" s="3"/>
      <c r="AB14" s="3"/>
      <c r="AC14" s="3"/>
      <c r="AD14" s="3"/>
      <c r="AE14" s="3"/>
      <c r="AF14" s="3"/>
      <c r="AG14" s="3">
        <v>1e-06</v>
      </c>
      <c r="AH14" s="3">
        <v>1e-06</v>
      </c>
      <c r="AI14" s="3">
        <v>0</v>
      </c>
      <c r="AJ14" s="3" t="inlineStr">
        <is>
          <t>lf</t>
        </is>
      </c>
      <c r="AK14" s="3">
        <v>0.001</v>
      </c>
      <c r="AL14" s="3">
        <v>-1</v>
      </c>
      <c r="AM14" s="3"/>
      <c r="AN14" s="3"/>
    </row>
    <row r="15" spans="1:40" x14ac:dyDescent="0.2">
      <c r="A15" s="3">
        <v>5</v>
      </c>
      <c r="B15" s="3" t="inlineStr">
        <is>
          <t>Drain Sand</t>
        </is>
      </c>
      <c r="C15" s="3">
        <v>120</v>
      </c>
      <c r="D15" s="3"/>
      <c r="E15" s="3" t="inlineStr">
        <is>
          <t>mc</t>
        </is>
      </c>
      <c r="F15" s="3">
        <v>0</v>
      </c>
      <c r="G15" s="3">
        <v>34</v>
      </c>
      <c r="H15" s="3"/>
      <c r="I15" s="3"/>
      <c r="J15" s="3"/>
      <c r="K15" s="3"/>
      <c r="L15" s="3"/>
      <c r="M15" s="3"/>
      <c r="N15" s="3"/>
      <c r="O15" s="3">
        <v>40000</v>
      </c>
      <c r="P15" s="3">
        <v>0.3</v>
      </c>
      <c r="Q15" s="3" t="inlineStr">
        <is>
          <t>ru</t>
        </is>
      </c>
      <c r="R15" s="3">
        <v>0.15</v>
      </c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>
        <v>0.05</v>
      </c>
      <c r="AH15" s="3">
        <v>0.05</v>
      </c>
      <c r="AI15" s="3">
        <v>0</v>
      </c>
      <c r="AJ15" s="3" t="inlineStr">
        <is>
          <t>vg</t>
        </is>
      </c>
      <c r="AK15" s="3"/>
      <c r="AL15" s="3"/>
      <c r="AM15" s="3">
        <v>0.05</v>
      </c>
      <c r="AN15" s="3">
        <v>1.8</v>
      </c>
    </row>
    <row r="16" spans="1:40" x14ac:dyDescent="0.2">
      <c r="A16" s="3">
        <v>6</v>
      </c>
      <c r="B16" s="3" t="inlineStr">
        <is>
          <t>Bedrock</t>
        </is>
      </c>
      <c r="C16" s="3">
        <v>165</v>
      </c>
      <c r="D16" s="3">
        <v>168</v>
      </c>
      <c r="E16" s="3" t="inlineStr">
        <is>
          <t>elastic</t>
        </is>
      </c>
      <c r="F16" s="3"/>
      <c r="G16" s="3"/>
      <c r="H16" s="3"/>
      <c r="I16" s="3"/>
      <c r="J16" s="3"/>
      <c r="K16" s="3"/>
      <c r="L16" s="3"/>
      <c r="M16" s="3"/>
      <c r="N16" s="3"/>
      <c r="O16" s="3">
        <v>2000000</v>
      </c>
      <c r="P16" s="3">
        <v>0.22</v>
      </c>
      <c r="Q16" s="3" t="inlineStr">
        <is>
          <t>none</t>
        </is>
      </c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>
        <v>1e-08</v>
      </c>
      <c r="AH16" s="3">
        <v>1e-08</v>
      </c>
      <c r="AI16" s="3">
        <v>0</v>
      </c>
      <c r="AJ16" s="3" t="inlineStr">
        <is>
          <t>lf</t>
        </is>
      </c>
      <c r="AK16" s="3">
        <v>0.001</v>
      </c>
      <c r="AL16" s="3">
        <v>-1</v>
      </c>
      <c r="AM16" s="3"/>
      <c r="AN16" s="3"/>
    </row>
    <row r="17" spans="1:40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40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0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0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0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0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0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AG9:AN9"/>
    <mergeCell ref="C9:Z9"/>
  </mergeCells>
  <conditionalFormatting sqref="L11:M52">
    <cfRule type="expression" dxfId="5" priority="17">
      <formula>AND($Q11&lt;&gt;"",$Q11&lt;&gt;"piezo",$Q11&lt;&gt;"seep")</formula>
    </cfRule>
  </conditionalFormatting>
  <conditionalFormatting sqref="F11:K52 AB11:AF52">
    <cfRule type="expression" dxfId="18" priority="1">
      <formula>$E11="hb"</formula>
    </cfRule>
    <cfRule type="expression" dxfId="17" priority="2">
      <formula>$E11="pow"</formula>
    </cfRule>
  </conditionalFormatting>
  <conditionalFormatting sqref="F11:N52">
    <cfRule type="expression" dxfId="16" priority="14">
      <formula>$E11="elastic"</formula>
    </cfRule>
  </conditionalFormatting>
  <conditionalFormatting sqref="G11:G52">
    <cfRule type="expression" dxfId="15" priority="3">
      <formula>$E11="cp"</formula>
    </cfRule>
  </conditionalFormatting>
  <conditionalFormatting sqref="H11:I52">
    <cfRule type="expression" dxfId="14" priority="4">
      <formula>$E11="mc"</formula>
    </cfRule>
  </conditionalFormatting>
  <conditionalFormatting sqref="J11:M52">
    <cfRule type="expression" dxfId="13" priority="5">
      <formula>$E11="cp"</formula>
    </cfRule>
  </conditionalFormatting>
  <conditionalFormatting sqref="Q11:R52">
    <cfRule type="expression" dxfId="12" priority="15">
      <formula>$E11="elastic"</formula>
    </cfRule>
  </conditionalFormatting>
  <conditionalFormatting sqref="R11:R52">
    <cfRule type="expression" dxfId="11" priority="8">
      <formula>AND($Q11&lt;&gt;"",$Q11&lt;&gt;"ru")</formula>
    </cfRule>
  </conditionalFormatting>
  <conditionalFormatting sqref="S11:V52">
    <cfRule type="expression" dxfId="10" priority="6">
      <formula>AND($E11&lt;&gt;"",$E11&lt;&gt;"pow")</formula>
    </cfRule>
  </conditionalFormatting>
  <conditionalFormatting sqref="W11:Z52">
    <cfRule type="expression" dxfId="9" priority="7">
      <formula>AND($E11&lt;&gt;"",$E11&lt;&gt;"hb")</formula>
    </cfRule>
  </conditionalFormatting>
  <conditionalFormatting sqref="AB11:AF52">
    <cfRule type="expression" dxfId="8" priority="16">
      <formula>$E11="elastic"</formula>
    </cfRule>
  </conditionalFormatting>
  <conditionalFormatting sqref="AC11:AC52">
    <cfRule type="expression" dxfId="7" priority="9">
      <formula>$E11="cp"</formula>
    </cfRule>
  </conditionalFormatting>
  <conditionalFormatting sqref="AD11:AD52">
    <cfRule type="expression" dxfId="6" priority="10">
      <formula>$E11="mc"</formula>
    </cfRule>
  </conditionalFormatting>
  <conditionalFormatting sqref="AE11:AF52">
    <cfRule type="expression" dxfId="5" priority="11">
      <formula>$E11="cp"</formula>
    </cfRule>
  </conditionalFormatting>
  <conditionalFormatting sqref="AK11:AL52">
    <cfRule type="expression" dxfId="4" priority="12">
      <formula>OR($AJ11="vg",$AJ11="gard")</formula>
    </cfRule>
  </conditionalFormatting>
  <conditionalFormatting sqref="AM11:AN52">
    <cfRule type="expression" dxfId="3" priority="13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Q11:Q52" xr:uid="{D770415C-1ECE-F44B-9D8C-08EF1CF31C8E}">
      <formula1>$Q$3:$Q$6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2" t="s">
        <v>2</v>
      </c>
      <c r="B4" s="52"/>
      <c r="D4" s="52" t="s">
        <v>5</v>
      </c>
      <c r="E4" s="52"/>
      <c r="G4" s="52" t="s">
        <v>6</v>
      </c>
      <c r="H4" s="52"/>
      <c r="J4" s="52" t="s">
        <v>7</v>
      </c>
      <c r="K4" s="52"/>
      <c r="M4" s="52" t="s">
        <v>8</v>
      </c>
      <c r="N4" s="52"/>
      <c r="P4" s="52" t="s">
        <v>9</v>
      </c>
      <c r="Q4" s="52"/>
      <c r="R4" s="1"/>
      <c r="S4" s="52" t="s">
        <v>10</v>
      </c>
      <c r="T4" s="52"/>
      <c r="U4" s="1"/>
      <c r="V4" s="52" t="s">
        <v>11</v>
      </c>
      <c r="W4" s="52"/>
      <c r="X4" s="1"/>
      <c r="Y4" s="52" t="s">
        <v>12</v>
      </c>
      <c r="Z4" s="52"/>
      <c r="AA4" s="1"/>
      <c r="AB4" s="52" t="s">
        <v>13</v>
      </c>
      <c r="AC4" s="52"/>
      <c r="AE4" s="52" t="s">
        <v>108</v>
      </c>
      <c r="AF4" s="52"/>
      <c r="AG4" s="1"/>
      <c r="AH4" s="52" t="s">
        <v>109</v>
      </c>
      <c r="AI4" s="52"/>
      <c r="AJ4" s="1"/>
      <c r="AK4" s="52" t="s">
        <v>110</v>
      </c>
      <c r="AL4" s="52"/>
      <c r="AM4" s="1"/>
      <c r="AN4" s="52" t="s">
        <v>111</v>
      </c>
      <c r="AO4" s="52"/>
      <c r="AP4" s="1"/>
      <c r="AQ4" s="52" t="s">
        <v>112</v>
      </c>
      <c r="AR4" s="52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2" t="s">
        <v>137</v>
      </c>
      <c r="B4" s="52"/>
      <c r="D4" s="52" t="s">
        <v>138</v>
      </c>
      <c r="E4" s="52"/>
      <c r="G4" s="52" t="s">
        <v>139</v>
      </c>
      <c r="H4" s="52"/>
      <c r="J4" s="52" t="s">
        <v>140</v>
      </c>
      <c r="K4" s="52"/>
      <c r="M4" s="52" t="s">
        <v>141</v>
      </c>
      <c r="N4" s="52"/>
      <c r="P4" s="52" t="s">
        <v>142</v>
      </c>
      <c r="Q4" s="52"/>
      <c r="R4" s="1"/>
      <c r="S4" s="52" t="s">
        <v>143</v>
      </c>
      <c r="T4" s="52"/>
      <c r="U4" s="1"/>
      <c r="V4" s="52" t="s">
        <v>144</v>
      </c>
      <c r="W4" s="52"/>
      <c r="X4" s="1"/>
      <c r="Y4" s="52" t="s">
        <v>145</v>
      </c>
      <c r="Z4" s="52"/>
      <c r="AA4" s="1"/>
      <c r="AB4" s="52" t="s">
        <v>146</v>
      </c>
      <c r="AC4" s="52"/>
      <c r="AE4" s="52" t="s">
        <v>147</v>
      </c>
      <c r="AF4" s="52"/>
      <c r="AG4" s="1"/>
      <c r="AH4" s="52" t="s">
        <v>148</v>
      </c>
      <c r="AI4" s="52"/>
      <c r="AJ4" s="1"/>
      <c r="AK4" s="52" t="s">
        <v>149</v>
      </c>
      <c r="AL4" s="52"/>
      <c r="AM4" s="1"/>
      <c r="AN4" s="52" t="s">
        <v>150</v>
      </c>
      <c r="AO4" s="52"/>
      <c r="AP4" s="1"/>
      <c r="AQ4" s="52" t="s">
        <v>151</v>
      </c>
      <c r="AR4" s="52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5" t="str">
        <f>_xlfn.XLOOKUP(B5,mat!$A:$A, mat!$B:$B,"") &amp; ""</f>
        <v/>
      </c>
      <c r="B6" s="56"/>
      <c r="D6" s="55" t="str">
        <f>_xlfn.XLOOKUP(E5,mat!$A:$A, mat!$B:$B,"") &amp; ""</f>
        <v/>
      </c>
      <c r="E6" s="56"/>
      <c r="G6" s="55" t="str">
        <f>_xlfn.XLOOKUP(H5,mat!$A:$A, mat!$B:$B,"") &amp; ""</f>
        <v/>
      </c>
      <c r="H6" s="56"/>
      <c r="J6" s="55" t="str">
        <f>_xlfn.XLOOKUP(K5,mat!$A:$A, mat!$B:$B,"") &amp; ""</f>
        <v/>
      </c>
      <c r="K6" s="56"/>
      <c r="M6" s="55" t="str">
        <f>_xlfn.XLOOKUP(N5,mat!$A:$A, mat!$B:$B,"") &amp; ""</f>
        <v/>
      </c>
      <c r="N6" s="56"/>
      <c r="P6" s="55" t="str">
        <f>_xlfn.XLOOKUP(Q5,mat!$A:$A, mat!$B:$B,"") &amp; ""</f>
        <v/>
      </c>
      <c r="Q6" s="56"/>
      <c r="R6" s="1"/>
      <c r="S6" s="55" t="str">
        <f>_xlfn.XLOOKUP(T5,mat!$A:$A, mat!$B:$B,"") &amp; ""</f>
        <v/>
      </c>
      <c r="T6" s="56"/>
      <c r="U6" s="1"/>
      <c r="V6" s="55" t="str">
        <f>_xlfn.XLOOKUP(W5,mat!$A:$A, mat!$B:$B,"") &amp; ""</f>
        <v/>
      </c>
      <c r="W6" s="56"/>
      <c r="X6" s="1"/>
      <c r="Y6" s="55" t="str">
        <f>_xlfn.XLOOKUP(Z5,mat!$A:$A, mat!$B:$B,"") &amp; ""</f>
        <v/>
      </c>
      <c r="Z6" s="56"/>
      <c r="AA6" s="1"/>
      <c r="AB6" s="55" t="str">
        <f>_xlfn.XLOOKUP(AC5,mat!$A:$A, mat!$B:$B,"") &amp; ""</f>
        <v/>
      </c>
      <c r="AC6" s="56"/>
      <c r="AE6" s="55" t="str">
        <f>_xlfn.XLOOKUP(AF5,mat!$A:$A, mat!$B:$B,"") &amp; ""</f>
        <v/>
      </c>
      <c r="AF6" s="56"/>
      <c r="AG6" s="1"/>
      <c r="AH6" s="55" t="str">
        <f>_xlfn.XLOOKUP(AI5,mat!$A:$A, mat!$B:$B,"") &amp; ""</f>
        <v/>
      </c>
      <c r="AI6" s="56"/>
      <c r="AJ6" s="1"/>
      <c r="AK6" s="55" t="str">
        <f>_xlfn.XLOOKUP(AL5,mat!$A:$A, mat!$B:$B,"") &amp; ""</f>
        <v/>
      </c>
      <c r="AL6" s="56"/>
      <c r="AM6" s="1"/>
      <c r="AN6" s="55" t="str">
        <f>_xlfn.XLOOKUP(AO5,mat!$A:$A, mat!$B:$B,"") &amp; ""</f>
        <v/>
      </c>
      <c r="AO6" s="56"/>
      <c r="AP6" s="1"/>
      <c r="AQ6" s="55" t="str">
        <f>_xlfn.XLOOKUP(AR5,mat!$A:$A, mat!$B:$B,"") &amp; ""</f>
        <v/>
      </c>
      <c r="AR6" s="5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7" t="s">
        <v>83</v>
      </c>
      <c r="B2" s="57"/>
      <c r="D2" s="58" t="s">
        <v>81</v>
      </c>
      <c r="E2" s="58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121</v>
      </c>
      <c r="C2" s="59"/>
      <c r="D2" s="59"/>
      <c r="F2" s="59" t="s">
        <v>122</v>
      </c>
      <c r="G2" s="59"/>
      <c r="H2" s="59"/>
      <c r="J2" s="59" t="s">
        <v>123</v>
      </c>
      <c r="K2" s="59"/>
      <c r="L2" s="59"/>
      <c r="N2" s="59" t="s">
        <v>124</v>
      </c>
      <c r="O2" s="59"/>
      <c r="P2" s="59"/>
      <c r="R2" s="59" t="s">
        <v>125</v>
      </c>
      <c r="S2" s="59"/>
      <c r="T2" s="59"/>
      <c r="V2" s="59" t="s">
        <v>126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129</v>
      </c>
      <c r="C2" s="60"/>
      <c r="D2" s="60"/>
      <c r="F2" s="60" t="s">
        <v>130</v>
      </c>
      <c r="G2" s="60"/>
      <c r="H2" s="60"/>
      <c r="J2" s="60" t="s">
        <v>131</v>
      </c>
      <c r="K2" s="60"/>
      <c r="L2" s="60"/>
      <c r="N2" s="60" t="s">
        <v>132</v>
      </c>
      <c r="O2" s="60"/>
      <c r="P2" s="60"/>
      <c r="R2" s="60" t="s">
        <v>133</v>
      </c>
      <c r="S2" s="60"/>
      <c r="T2" s="60"/>
      <c r="V2" s="60" t="s">
        <v>134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127</v>
      </c>
      <c r="C2" s="61"/>
      <c r="E2" s="57" t="s">
        <v>215</v>
      </c>
      <c r="F2" s="57"/>
      <c r="H2" s="57" t="s">
        <v>217</v>
      </c>
      <c r="I2" s="57"/>
      <c r="K2" s="57" t="s">
        <v>218</v>
      </c>
      <c r="L2" s="57"/>
      <c r="N2" s="57" t="s">
        <v>219</v>
      </c>
      <c r="O2" s="57"/>
      <c r="Q2" s="57" t="s">
        <v>220</v>
      </c>
      <c r="R2" s="57"/>
    </row>
    <row r="3" spans="2:21" x14ac:dyDescent="0.2">
      <c r="B3" s="61"/>
      <c r="C3" s="61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128</v>
      </c>
      <c r="C2" s="62"/>
      <c r="E2" s="58" t="s">
        <v>221</v>
      </c>
      <c r="F2" s="58"/>
      <c r="H2" s="58" t="s">
        <v>222</v>
      </c>
      <c r="I2" s="58"/>
      <c r="K2" s="58" t="s">
        <v>223</v>
      </c>
      <c r="L2" s="58"/>
      <c r="N2" s="58" t="s">
        <v>224</v>
      </c>
      <c r="O2" s="58"/>
      <c r="Q2" s="58" t="s">
        <v>225</v>
      </c>
      <c r="R2" s="58"/>
    </row>
    <row r="3" spans="2:21" x14ac:dyDescent="0.2">
      <c r="B3" s="62"/>
      <c r="C3" s="62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2026-07-20T19:21:01Z</dcterms:modified>
</cp:coreProperties>
</file>