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Embankment</t>
        </is>
      </c>
      <c r="C11" s="3">
        <v>20.0</v>
      </c>
      <c r="D11" s="3">
        <v>20.0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100000.0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Clay 1</t>
        </is>
      </c>
      <c r="C12" s="3">
        <v>17.0</v>
      </c>
      <c r="D12" s="3">
        <v>17.0</v>
      </c>
      <c r="E12" s="3" t="inlineStr">
        <is>
          <t>cp</t>
        </is>
      </c>
      <c r="F12" s="3">
        <v>33.0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100000.0</v>
      </c>
      <c r="N12" s="3">
        <v>0.3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Clay 2</t>
        </is>
      </c>
      <c r="C13" s="3">
        <v>17.0</v>
      </c>
      <c r="D13" s="3">
        <v>17.0</v>
      </c>
      <c r="E13" s="3" t="inlineStr">
        <is>
          <t>cp</t>
        </is>
      </c>
      <c r="F13" s="3">
        <v>16.0</v>
      </c>
      <c r="G13" s="3">
        <v>0.0</v>
      </c>
      <c r="H13" s="3">
        <v>0.0</v>
      </c>
      <c r="I13" s="3">
        <v>-1.0</v>
      </c>
      <c r="J13" s="3">
        <v>0.0</v>
      </c>
      <c r="K13" s="3">
        <v>0.0</v>
      </c>
      <c r="L13" s="3" t="n"/>
      <c r="M13" s="3">
        <v>100000.0</v>
      </c>
      <c r="N13" s="3">
        <v>0.3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>
        <v>4</v>
      </c>
      <c r="B14" s="3" t="inlineStr">
        <is>
          <t>Clay 3</t>
        </is>
      </c>
      <c r="C14" s="3">
        <v>17.0</v>
      </c>
      <c r="D14" s="3">
        <v>17.0</v>
      </c>
      <c r="E14" s="3" t="inlineStr">
        <is>
          <t>cp</t>
        </is>
      </c>
      <c r="F14" s="3">
        <v>16.0</v>
      </c>
      <c r="G14" s="3">
        <v>0.0</v>
      </c>
      <c r="H14" s="3">
        <v>0.96</v>
      </c>
      <c r="I14" s="3">
        <v>-4.5</v>
      </c>
      <c r="J14" s="3">
        <v>0.0</v>
      </c>
      <c r="K14" s="3">
        <v>0.0</v>
      </c>
      <c r="L14" s="3" t="n"/>
      <c r="M14" s="3">
        <v>100000.0</v>
      </c>
      <c r="N14" s="3">
        <v>0.3</v>
      </c>
      <c r="O14" s="3" t="inlineStr">
        <is>
          <t>none</t>
        </is>
      </c>
      <c r="P14" s="3">
        <v>0.0</v>
      </c>
      <c r="Q14" s="3" t="n"/>
      <c r="R14" s="3" t="n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 t="n"/>
      <c r="AP14" s="3" t="n"/>
    </row>
    <row r="15">
      <c r="A15" s="3">
        <v>5</v>
      </c>
      <c r="B15" s="3" t="inlineStr">
        <is>
          <t>Clay 4</t>
        </is>
      </c>
      <c r="C15" s="3">
        <v>17.0</v>
      </c>
      <c r="D15" s="3">
        <v>17.0</v>
      </c>
      <c r="E15" s="3" t="inlineStr">
        <is>
          <t>cp</t>
        </is>
      </c>
      <c r="F15" s="3">
        <v>18.4</v>
      </c>
      <c r="G15" s="3">
        <v>0.0</v>
      </c>
      <c r="H15" s="3">
        <v>1.314</v>
      </c>
      <c r="I15" s="3">
        <v>-7.0</v>
      </c>
      <c r="J15" s="3">
        <v>0.0</v>
      </c>
      <c r="K15" s="3">
        <v>0.0</v>
      </c>
      <c r="L15" s="3" t="n"/>
      <c r="M15" s="3">
        <v>100000.0</v>
      </c>
      <c r="N15" s="3">
        <v>0.3</v>
      </c>
      <c r="O15" s="3" t="inlineStr">
        <is>
          <t>none</t>
        </is>
      </c>
      <c r="P15" s="3">
        <v>0.0</v>
      </c>
      <c r="Q15" s="3" t="n"/>
      <c r="R15" s="3" t="n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-21.0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>
        <v>4</v>
      </c>
      <c r="M5" s="56" t="inlineStr">
        <is>
          <t>Mat ID:</t>
        </is>
      </c>
      <c r="N5" s="37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-30.0</v>
      </c>
      <c r="B9" s="3">
        <v>0.0</v>
      </c>
      <c r="D9" s="3">
        <v>-30.0</v>
      </c>
      <c r="E9" s="3">
        <v>0.0</v>
      </c>
      <c r="G9" s="3">
        <v>-30.0</v>
      </c>
      <c r="H9" s="3">
        <v>-1.0</v>
      </c>
      <c r="J9" s="3">
        <v>-30.0</v>
      </c>
      <c r="K9" s="3">
        <v>-4.5</v>
      </c>
      <c r="M9" s="3">
        <v>-30.0</v>
      </c>
      <c r="N9" s="3">
        <v>-7.0</v>
      </c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0.0</v>
      </c>
      <c r="B10" s="3">
        <v>0.0</v>
      </c>
      <c r="D10" s="3">
        <v>45.0</v>
      </c>
      <c r="E10" s="3">
        <v>0.0</v>
      </c>
      <c r="G10" s="3">
        <v>45.0</v>
      </c>
      <c r="H10" s="3">
        <v>-1.0</v>
      </c>
      <c r="J10" s="3">
        <v>45.0</v>
      </c>
      <c r="K10" s="3">
        <v>-4.5</v>
      </c>
      <c r="M10" s="3">
        <v>45.0</v>
      </c>
      <c r="N10" s="3">
        <v>-7.0</v>
      </c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6.15</v>
      </c>
      <c r="B11" s="3">
        <v>5.0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36.41</v>
      </c>
      <c r="B12" s="3">
        <v>5.0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42.56</v>
      </c>
      <c r="B13" s="3">
        <v>0.0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45.0</v>
      </c>
      <c r="B14" s="3">
        <v>0.0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3.4655156372</v>
      </c>
      <c r="C3" s="3">
        <v>5.6641506008</v>
      </c>
      <c r="D3" s="3" t="inlineStr">
        <is>
          <t>Depth</t>
        </is>
      </c>
      <c r="E3" s="3">
        <v>-7.611956694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>
        <v>1</v>
      </c>
      <c r="B3" s="3" t="inlineStr">
        <is>
          <t>geosynthetic</t>
        </is>
      </c>
      <c r="C3" s="3">
        <v>1.23</v>
      </c>
      <c r="D3" s="3">
        <v>1.0</v>
      </c>
      <c r="E3" s="3">
        <v>41.33</v>
      </c>
      <c r="F3" s="3">
        <v>1.0</v>
      </c>
      <c r="G3" s="3" t="inlineStr">
        <is>
          <t>Geosynthetic</t>
        </is>
      </c>
      <c r="H3" s="3" t="inlineStr">
        <is>
          <t>Axial</t>
        </is>
      </c>
      <c r="I3" s="3">
        <f>IF($G3="","",IFERROR(VLOOKUP($G3,$Z$8:$AB$11,3,0),""))</f>
        <v/>
      </c>
      <c r="J3" s="3">
        <v>200.0</v>
      </c>
      <c r="K3" s="3">
        <v>1.9</v>
      </c>
      <c r="L3" s="3">
        <v>1.9</v>
      </c>
      <c r="M3" s="3">
        <v>0.0</v>
      </c>
      <c r="N3" s="3">
        <v>0.0</v>
      </c>
      <c r="O3" s="3">
        <v>1.0</v>
      </c>
      <c r="P3" s="3"/>
      <c r="Q3" s="3">
        <v>20000.0</v>
      </c>
      <c r="R3" s="3">
        <v>0.1</v>
      </c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