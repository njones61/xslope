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A8D9778-BA48-644C-980F-473DF9F954B0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<sst xmlns="http://schemas.openxmlformats.org/spreadsheetml/2006/main" count="518" uniqueCount="304">
  <si>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</si>
  <si>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</si>
  <si>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</si>
  <si>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</si>
  <si>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</si>
  <si>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</si>
  <si>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</si>
  <si>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</si>
  <si>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</si>
  <si>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</si>
  <si>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</si>
  <si>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</si>
  <si>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</si>
  <si>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</si>
  <si>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</si>
  <si>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</si>
  <si>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</si>
  <si>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</si>
  <si>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</si>
  <si>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</si>
  <si>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</si>
  <si>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</si>
  <si>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</si>
  <si>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</si>
  <si>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</si>
  <si>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</si>
  <si>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</si>
  <si>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</si>
  <si>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</si>
  <si>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</si>
  <si>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</si>
  <si>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</si>
  <si>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</si>
  <si>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</si>
  <si>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</si>
  <si>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</si>
  <si>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</si>
  <si>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</si>
  <si>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</si>
  <si>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</si>
  <si>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</si>
  <si>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</si>
  <si>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</si>
  <si>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</si>
  <si>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</si>
  <si>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</si>
  <si>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</si>
  <si>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</si>
  <si>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</si>
  <si>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</si>
  <si>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</si>
  <si>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</si>
  <si>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</si>
  <si>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</si>
  <si>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</si>
  <si>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</si>
  <si>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</si>
  <si>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</si>
  <si>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</si>
  <si>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</si>
  <si>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</si>
  <si>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</si>
  <si>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</si>
  <si>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</si>
  <si>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</si>
  <si>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</si>
  <si>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</si>
  <si>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</si>
  <si>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</si>
  <si>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</si>
  <si>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</si>
  <si>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</si>
  <si>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</si>
  <si>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</si>
  <si>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</si>
  <si>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</si>
  <si>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</si>
  <si>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</si>
  <si>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</si>
  <si>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</si>
  <si>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</si>
  <si>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</si>
  <si>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</si>
  <si>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</si>
  <si>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</si>
  <si>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</si>
  <si>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</si>
  <si>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</si>
  <si>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</si>
  <si>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</si>
  <si>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</si>
  <si>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</si>
  <si>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</si>
  <si>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</si>
  <si>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</si>
  <si>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</si>
  <si>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</si>
  <si>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</si>
  <si>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</si>
  <si>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</si>
  <si>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</si>
  <si>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</si>
  <si>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</si>
  <si>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</si>
  <si>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</si>
  <si>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</si>
  <si>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</si>
  <si>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</si>
  <si>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</si>
  <si>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</si>
  <si>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</si>
  <si>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</si>
  <si>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</si>
  <si>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</si>
  <si>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</si>
  <si>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</si>
  <si>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</si>
  <si>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</si>
  <si>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</si>
  <si>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</si>
  <si>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</si>
  <si>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</si>
  <si>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</si>
  <si>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</si>
  <si>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</si>
  <si>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</si>
  <si>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</si>
  <si>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</si>
  <si>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</si>
  <si>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</si>
  <si>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</si>
  <si>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</si>
  <si>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</si>
  <si>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</si>
  <si>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</si>
  <si>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</si>
  <si>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</si>
  <si>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</si>
  <si>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</si>
  <si>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</si>
  <si>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</si>
  <si>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</si>
  <si>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</si>
  <si>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</si>
  <si>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</si>
  <si>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</si>
  <si>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</si>
  <si>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</si>
  <si>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</si>
  <si>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</si>
  <si>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</si>
  <si>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</si>
  <si>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</si>
  <si>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</si>
  <si>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</si>
  <si>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</si>
  <si>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</si>
  <si>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</si>
  <si>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</si>
  <si>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</si>
  <si>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</si>
  <si>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</si>
  <si>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</si>
  <si>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</si>
  <si>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</si>
  <si>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</si>
  <si>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</si>
  <si>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</si>
  <si>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</si>
  <si>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</si>
  <si>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</si>
  <si>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</si>
  <si>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</si>
  <si>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</si>
  <si>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</si>
  <si>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</si>
  <si>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</si>
  <si>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</si>
  <si>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</si>
  <si>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</si>
  <si>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</si>
  <si>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</si>
  <si>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</si>
  <si>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</si>
  <si>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</si>
  <si>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</si>
  <si>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</si>
  <si>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</si>
  <si>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</si>
  <si>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</si>
  <si>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</si>
  <si>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</si>
  <si>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</si>
  <si>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</si>
  <si>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</si>
  <si>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</si>
  <si>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</si>
  <si>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</si>
  <si>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</si>
  <si>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</si>
  <si>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</si>
  <si>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</si>
  <si>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</si>
  <si>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</si>
  <si>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</si>
  <si>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</si>
  <si>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</si>
  <si>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</si>
  <si>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</si>
  <si>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</si>
  <si>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</si>
  <si>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</si>
  <si>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</si>
  <si>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</si>
  <si>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</si>
  <si>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</si>
  <si>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</si>
  <si>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</si>
  <si>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</si>
  <si>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</si>
  <si>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</si>
  <si>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</si>
  <si>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</si>
  <si>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</si>
  <si>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</si>
  <si>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</si>
  <si>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</si>
  <si>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</si>
  <si>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</si>
  <si>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</si>
  <si>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</si>
  <si>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</si>
  <si>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</si>
  <si>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</si>
  <si>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</si>
  <si>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</si>
  <si>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</si>
  <si>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</si>
  <si>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</si>
  <si>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</si>
  <si>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</si>
  <si>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</si>
  <si>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</si>
  <si>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</si>
  <si>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</si>
  <si>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</si>
  <si>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</si>
  <si>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</si>
  <si>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</si>
  <si>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</si>
  <si>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</si>
  <si>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</si>
  <si>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</si>
  <si>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</si>
  <si>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</si>
  <si>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</si>
  <si>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</si>
  <si>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</si>
  <si>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</si>
  <si>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</si>
  <si>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</si>
  <si>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</si>
  <si>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</si>
  <si>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</si>
  <si>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</si>
  <si>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</si>
  <si>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</si>
  <si>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</si>
  <si>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</si>
  <si>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</si>
  <si>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</si>
  <si>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</si>
  <si>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</si>
  <si>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</si>
  <si>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</si>
  <si>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</si>
  <si>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</si>
  <si>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</si>
  <si>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</si>
  <si>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</si>
  <si>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</si>
  <si>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</si>
  <si>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</si>
  <si>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</si>
  <si>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</si>
  <si>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</si>
  <si>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</si>
  <si>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</si>
  <si>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</si>
  <si>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</si>
  <si>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</si>
  <si>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</si>
  <si>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</si>
  <si>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</si>
  <si>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</si>
  <si>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</si>
  <si>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</si>
  <si>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</si>
  <si>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</si>
  <si>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</si>
  <si>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</si>
  <si>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</si>
  <si>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</si>
  <si>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Mat ID = -1 --&gt; SSR reduce, Mat ID = -2 --&gt; SSR hold, Mat ID = -3 --&gt; SSR 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</si>
</sst>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20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inlineStr">
        <is>
          <t>SI</t>
        </is>
      </c>
      <c r="F8" s="1" t="s">
        <v>19</v>
      </c>
      <c r="G8" t="s">
        <v>20</v>
      </c>
    </row>
    <row r="9" spans="1:7" x14ac:dyDescent="0.2">
      <c r="C9" s="14" t="s">
        <v>21</v>
      </c>
      <c r="D9" s="1"/>
      <c r="F9" s="1" t="s">
        <v>23</v>
      </c>
      <c r="G9" t="s">
        <v>24</v>
      </c>
    </row>
    <row r="10" spans="1:7" x14ac:dyDescent="0.2">
      <c r="C10" s="14" t="s">
        <v>25</v>
      </c>
      <c r="D10" s="1">
        <v>9.807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0.0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0.0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0.0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  <c r="D14"/>
    </row>
    <row r="15" spans="1:7" x14ac:dyDescent="0.2">
      <c r="C15" s="14" t="s">
        <v>47</v>
      </c>
      <c r="F15" s="1" t="s">
        <v>42</v>
      </c>
      <c r="G15" t="s">
        <v>43</v>
      </c>
      <c r="D15"/>
    </row>
    <row r="16" spans="1:7" x14ac:dyDescent="0.2">
      <c r="C16" s="14" t="s">
        <v>37</v>
      </c>
      <c r="F16" s="1" t="s">
        <v>45</v>
      </c>
      <c r="G16" t="s">
        <v>46</v>
      </c>
      <c r="D16"/>
    </row>
    <row r="17" spans="2:7" x14ac:dyDescent="0.2">
      <c r="B17" s="1"/>
      <c r="C17" s="14" t="s">
        <v>40</v>
      </c>
      <c r="D17" s="1"/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  <c r="D18"/>
    </row>
    <row r="19" spans="2:7" x14ac:dyDescent="0.2">
      <c r="C19" s="14" t="s">
        <v>53</v>
      </c>
      <c r="F19" s="1" t="s">
        <v>54</v>
      </c>
      <c r="G19" t="s">
        <v>55</v>
      </c>
      <c r="D19"/>
    </row>
    <row r="20" spans="2:7" x14ac:dyDescent="0.2">
      <c r="C20" s="14" t="s">
        <v>56</v>
      </c>
      <c r="F20" s="1" t="s">
        <v>57</v>
      </c>
      <c r="G20" s="9" t="s">
        <v>58</v>
      </c>
      <c r="D20"/>
    </row>
    <row r="21" spans="2:7" x14ac:dyDescent="0.2">
      <c r="C21" s="14" t="s">
        <v>59</v>
      </c>
      <c r="F21" s="1" t="s">
        <v>60</v>
      </c>
      <c r="G21" s="9" t="s">
        <v>61</v>
      </c>
      <c r="D21"/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 t="inlineStr">
        <is>
          <t>Phase I Fill</t>
        </is>
      </c>
      <c r="C11" s="3">
        <v>22.0</v>
      </c>
      <c r="D11" s="3">
        <v>22.0</v>
      </c>
      <c r="E11" s="3" t="inlineStr">
        <is>
          <t>mc</t>
        </is>
      </c>
      <c r="F11" s="3">
        <v>117.79</v>
      </c>
      <c r="G11" s="3">
        <v>8.5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Sand Filter</t>
        </is>
      </c>
      <c r="C12" s="3">
        <v>22.0</v>
      </c>
      <c r="D12" s="3">
        <v>22.0</v>
      </c>
      <c r="E12" s="3" t="inlineStr">
        <is>
          <t>mc</t>
        </is>
      </c>
      <c r="F12" s="3">
        <v>0.0</v>
      </c>
      <c r="G12" s="3">
        <v>35.0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Phase II Fill</t>
        </is>
      </c>
      <c r="C13" s="3">
        <v>22.0</v>
      </c>
      <c r="D13" s="3">
        <v>22.0</v>
      </c>
      <c r="E13" s="3" t="inlineStr">
        <is>
          <t>mc</t>
        </is>
      </c>
      <c r="F13" s="3">
        <v>143.64</v>
      </c>
      <c r="G13" s="3">
        <v>15.0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100000.0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Material 4</t>
        </is>
      </c>
      <c r="C14" s="3">
        <v>25.0</v>
      </c>
      <c r="D14" s="3">
        <v>25.0</v>
      </c>
      <c r="E14" s="3" t="inlineStr">
        <is>
          <t>mc</t>
        </is>
      </c>
      <c r="F14" s="3">
        <v>5.0</v>
      </c>
      <c r="G14" s="3">
        <v>35.0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100000.0</v>
      </c>
      <c r="N14" s="3">
        <v>0.3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 t="inlineStr">
        <is>
          <t>Material 5</t>
        </is>
      </c>
      <c r="C15" s="3">
        <v>20.0</v>
      </c>
      <c r="D15" s="3">
        <v>20.0</v>
      </c>
      <c r="E15" s="3" t="inlineStr">
        <is>
          <t>mc</t>
        </is>
      </c>
      <c r="F15" s="3">
        <v>5.0</v>
      </c>
      <c r="G15" s="3">
        <v>18.0</v>
      </c>
      <c r="H15" s="3">
        <v>0.0</v>
      </c>
      <c r="I15" s="3">
        <v>0.0</v>
      </c>
      <c r="J15" s="3">
        <v>0.0</v>
      </c>
      <c r="K15" s="3">
        <v>0.0</v>
      </c>
      <c r="L15" s="3"/>
      <c r="M15" s="3">
        <v>100000.0</v>
      </c>
      <c r="N15" s="3">
        <v>0.3</v>
      </c>
      <c r="O15" s="3" t="inlineStr">
        <is>
          <t>none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1.2</v>
      </c>
      <c r="AB15" s="3">
        <v>1.8</v>
      </c>
      <c r="AC15" s="3">
        <v>2.744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/>
      <c r="AP15" s="3"/>
    </row>
    <row r="16" spans="1:42" x14ac:dyDescent="0.2">
      <c r="A16" s="3">
        <v>6</v>
      </c>
      <c r="B16" s="3" t="inlineStr">
        <is>
          <t>Material 6</t>
        </is>
      </c>
      <c r="C16" s="3">
        <v>20.0</v>
      </c>
      <c r="D16" s="3">
        <v>20.0</v>
      </c>
      <c r="E16" s="3" t="inlineStr">
        <is>
          <t>mc</t>
        </is>
      </c>
      <c r="F16" s="3">
        <v>100.0</v>
      </c>
      <c r="G16" s="3">
        <v>35.0</v>
      </c>
      <c r="H16" s="3">
        <v>0.0</v>
      </c>
      <c r="I16" s="3">
        <v>0.0</v>
      </c>
      <c r="J16" s="3">
        <v>0.0</v>
      </c>
      <c r="K16" s="3">
        <v>0.0</v>
      </c>
      <c r="L16" s="3"/>
      <c r="M16" s="3">
        <v>100000.0</v>
      </c>
      <c r="N16" s="3">
        <v>0.3</v>
      </c>
      <c r="O16" s="3" t="inlineStr">
        <is>
          <t>none</t>
        </is>
      </c>
      <c r="P16" s="3">
        <v>0.0</v>
      </c>
      <c r="Q16" s="3"/>
      <c r="R16" s="3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1.2</v>
      </c>
      <c r="AB16" s="3">
        <v>1.8</v>
      </c>
      <c r="AC16" s="3">
        <v>2.744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19" priority="6">
      <formula>$E11="hb"</formula>
    </cfRule>
    <cfRule type="expression" dxfId="18" priority="7">
      <formula>$E11="pow"</formula>
    </cfRule>
  </conditionalFormatting>
  <conditionalFormatting sqref="F11:L52 O11:R52">
    <cfRule type="expression" dxfId="17" priority="19">
      <formula>$E11="elastic"</formula>
    </cfRule>
  </conditionalFormatting>
  <conditionalFormatting sqref="G11:G52">
    <cfRule type="expression" dxfId="16" priority="8">
      <formula>$E11="cp"</formula>
    </cfRule>
  </conditionalFormatting>
  <conditionalFormatting sqref="H11:I52">
    <cfRule type="expression" dxfId="15" priority="9">
      <formula>$E11="mc"</formula>
    </cfRule>
  </conditionalFormatting>
  <conditionalFormatting sqref="J11:K52">
    <cfRule type="expression" dxfId="14" priority="10">
      <formula>$E11="cp"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S11:V52">
    <cfRule type="expression" dxfId="12" priority="11">
      <formula>AND($E11&lt;&gt;"",$E11&lt;&gt;"pow")</formula>
    </cfRule>
  </conditionalFormatting>
  <conditionalFormatting sqref="W11:Z52">
    <cfRule type="expression" dxfId="11" priority="12">
      <formula>AND($E11&lt;&gt;"",$E11&lt;&gt;"hb")</formula>
    </cfRule>
  </conditionalFormatting>
  <conditionalFormatting sqref="AB11:AF52">
    <cfRule type="expression" dxfId="10" priority="21">
      <formula>$E11="elastic"</formula>
    </cfRule>
  </conditionalFormatting>
  <conditionalFormatting sqref="AC11:AC52">
    <cfRule type="expression" dxfId="9" priority="14">
      <formula>$E11="cp"</formula>
    </cfRule>
  </conditionalFormatting>
  <conditionalFormatting sqref="AD11:AD52">
    <cfRule type="expression" dxfId="8" priority="15">
      <formula>$E11="mc"</formula>
    </cfRule>
  </conditionalFormatting>
  <conditionalFormatting sqref="AE11:AF52">
    <cfRule type="expression" dxfId="7" priority="16">
      <formula>$E11="cp"</formula>
    </cfRule>
  </conditionalFormatting>
  <conditionalFormatting sqref="AK11:AL52">
    <cfRule type="expression" dxfId="6" priority="17">
      <formula>OR($AJ11="vg",$AJ11="gard")</formula>
    </cfRule>
  </conditionalFormatting>
  <conditionalFormatting sqref="AM11:AN52">
    <cfRule type="expression" dxfId="5" priority="1">
      <formula>$AJ11="lf"</formula>
    </cfRule>
  </conditionalFormatting>
  <conditionalFormatting sqref="Q11:R52">
    <cfRule type="expression" dxfId="1" priority="23">
      <formula>$E11="cp"</formula>
    </cfRule>
    <cfRule type="expression" dxfId="0" priority="24">
      <formula>AND($O11&lt;&gt;"",$O11&lt;&gt;"piezo",$O11&lt;&gt;"seep")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</v>
      </c>
      <c r="D2" s="24" t="s">
        <v>160</v>
      </c>
    </row>
    <row r="4" spans="1:44" x14ac:dyDescent="0.2">
      <c r="A4" s="55" t="s">
        <v>161</v>
      </c>
      <c r="B4" s="52"/>
      <c r="D4" s="55" t="s">
        <v>162</v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303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176</v>
      </c>
      <c r="B5" s="39">
        <v>6</v>
      </c>
      <c r="D5" s="38" t="s">
        <v>176</v>
      </c>
      <c r="E5" s="39">
        <v>5</v>
      </c>
      <c r="G5" s="38" t="s">
        <v>176</v>
      </c>
      <c r="H5" s="39">
        <v>5</v>
      </c>
      <c r="J5" s="38" t="s">
        <v>176</v>
      </c>
      <c r="K5" s="39">
        <v>4</v>
      </c>
      <c r="M5" s="38" t="s">
        <v>176</v>
      </c>
      <c r="N5" s="39">
        <v>1</v>
      </c>
      <c r="P5" s="38" t="s">
        <v>176</v>
      </c>
      <c r="Q5" s="39">
        <v>2</v>
      </c>
      <c r="R5" s="1"/>
      <c r="S5" s="38" t="s">
        <v>176</v>
      </c>
      <c r="T5" s="39">
        <v>3</v>
      </c>
      <c r="U5" s="1"/>
      <c r="V5" s="38" t="s">
        <v>176</v>
      </c>
      <c r="W5" s="39">
        <v>8</v>
      </c>
      <c r="X5" s="1"/>
      <c r="Y5" s="38" t="s">
        <v>176</v>
      </c>
      <c r="Z5" s="39">
        <v>9</v>
      </c>
      <c r="AA5" s="1"/>
      <c r="AB5" s="38" t="s">
        <v>176</v>
      </c>
      <c r="AC5" s="39">
        <v>10</v>
      </c>
      <c r="AE5" s="38" t="s">
        <v>176</v>
      </c>
      <c r="AF5" s="39">
        <v>11</v>
      </c>
      <c r="AG5" s="1"/>
      <c r="AH5" s="38" t="s">
        <v>176</v>
      </c>
      <c r="AI5" s="39">
        <v>12</v>
      </c>
      <c r="AJ5" s="1"/>
      <c r="AK5" s="38" t="s">
        <v>176</v>
      </c>
      <c r="AL5" s="39">
        <v>13</v>
      </c>
      <c r="AM5" s="1"/>
      <c r="AN5" s="38" t="s">
        <v>176</v>
      </c>
      <c r="AO5" s="39">
        <v>14</v>
      </c>
      <c r="AP5" s="1"/>
      <c r="AQ5" s="38" t="s">
        <v>176</v>
      </c>
      <c r="AR5" s="39">
        <v>15</v>
      </c>
    </row>
    <row r="6" spans="1:44" x14ac:dyDescent="0.2">
      <c r="A6" s="58" t="str">
        <f>IF(B5=-1,"SSR reduce",IF(B5=-2,"SSR hold",IF(B5=-3,"SSR elastic",_xlfn.XLOOKUP(B5,mat!$A:$A, mat!$B:$B,"") &amp; "")))</f>
        <v/>
      </c>
      <c r="B6" s="57"/>
      <c r="D6" s="58" t="str">
        <f>IF(E5=-1,"SSR reduce",IF(E5=-2,"SSR hold",IF(E5=-3,"SSR elastic",_xlfn.XLOOKUP(E5,mat!$A:$A, mat!$B:$B,"") &amp; "")))</f>
        <v/>
      </c>
      <c r="E6" s="57"/>
      <c r="G6" s="58" t="str">
        <f>IF(H5=-1,"SSR reduce",IF(H5=-2,"SSR hold",IF(H5=-3,"SSR elastic",_xlfn.XLOOKUP(H5,mat!$A:$A, mat!$B:$B,"") &amp; "")))</f>
        <v/>
      </c>
      <c r="H6" s="57"/>
      <c r="J6" s="58" t="str">
        <f>IF(K5=-1,"SSR reduce",IF(K5=-2,"SSR hold",IF(K5=-3,"SSR elastic",_xlfn.XLOOKUP(K5,mat!$A:$A, mat!$B:$B,"") &amp; "")))</f>
        <v/>
      </c>
      <c r="K6" s="57"/>
      <c r="M6" s="58" t="str">
        <f>IF(N5=-1,"SSR reduce",IF(N5=-2,"SSR hold",IF(N5=-3,"SSR elastic",_xlfn.XLOOKUP(N5,mat!$A:$A, mat!$B:$B,"") &amp; "")))</f>
        <v/>
      </c>
      <c r="N6" s="57"/>
      <c r="P6" s="58" t="str">
        <f>IF(Q5=-1,"SSR reduce",IF(Q5=-2,"SSR hold",IF(Q5=-3,"SSR elastic",_xlfn.XLOOKUP(Q5,mat!$A:$A, mat!$B:$B,"") &amp; "")))</f>
        <v/>
      </c>
      <c r="Q6" s="57"/>
      <c r="R6" s="1"/>
      <c r="S6" s="58" t="str">
        <f>IF(T5=-1,"SSR reduce",IF(T5=-2,"SSR hold",IF(T5=-3,"SSR elastic",_xlfn.XLOOKUP(T5,mat!$A:$A, mat!$B:$B,"") &amp; "")))</f>
        <v/>
      </c>
      <c r="T6" s="57"/>
      <c r="U6" s="1"/>
      <c r="V6" s="58" t="str">
        <f>IF(W5=-1,"SSR reduce",IF(W5=-2,"SSR hold",IF(W5=-3,"SSR elastic",_xlfn.XLOOKUP(W5,mat!$A:$A, mat!$B:$B,"") &amp; "")))</f>
        <v/>
      </c>
      <c r="W6" s="57"/>
      <c r="X6" s="1"/>
      <c r="Y6" s="58" t="str">
        <f>IF(Z5=-1,"SSR reduce",IF(Z5=-2,"SSR hold",IF(Z5=-3,"SSR elastic",_xlfn.XLOOKUP(Z5,mat!$A:$A, mat!$B:$B,"") &amp; "")))</f>
        <v/>
      </c>
      <c r="Z6" s="57"/>
      <c r="AA6" s="1"/>
      <c r="AB6" s="58" t="str">
        <f>IF(AC5=-1,"SSR reduce",IF(AC5=-2,"SSR hold",IF(AC5=-3,"SSR elastic",_xlfn.XLOOKUP(AC5,mat!$A:$A, mat!$B:$B,"") &amp; "")))</f>
        <v/>
      </c>
      <c r="AC6" s="57"/>
      <c r="AE6" s="58" t="str">
        <f>IF(AF5=-1,"SSR reduce",IF(AF5=-2,"SSR hold",IF(AF5=-3,"SSR elastic",_xlfn.XLOOKUP(AF5,mat!$A:$A, mat!$B:$B,"") &amp; "")))</f>
        <v/>
      </c>
      <c r="AF6" s="57"/>
      <c r="AG6" s="1"/>
      <c r="AH6" s="58" t="str">
        <f>IF(AI5=-1,"SSR reduce",IF(AI5=-2,"SSR hold",IF(AI5=-3,"SSR elastic",_xlfn.XLOOKUP(AI5,mat!$A:$A, mat!$B:$B,"") &amp; "")))</f>
        <v/>
      </c>
      <c r="AI6" s="57"/>
      <c r="AJ6" s="1"/>
      <c r="AK6" s="58" t="str">
        <f>IF(AL5=-1,"SSR reduce",IF(AL5=-2,"SSR hold",IF(AL5=-3,"SSR elastic",_xlfn.XLOOKUP(AL5,mat!$A:$A, mat!$B:$B,"") &amp; "")))</f>
        <v/>
      </c>
      <c r="AL6" s="57"/>
      <c r="AM6" s="1"/>
      <c r="AN6" s="58" t="str">
        <f>IF(AO5=-1,"SSR reduce",IF(AO5=-2,"SSR hold",IF(AO5=-3,"SSR elastic",_xlfn.XLOOKUP(AO5,mat!$A:$A, mat!$B:$B,"") &amp; "")))</f>
        <v/>
      </c>
      <c r="AO6" s="57"/>
      <c r="AP6" s="1"/>
      <c r="AQ6" s="58" t="str">
        <f>IF(AR5=-1,"SSR reduce",IF(AR5=-2,"SSR hold",IF(AR5=-3,"SSR elastic",_xlfn.XLOOKUP(AR5,mat!$A:$A, mat!$B:$B,"") &amp; "")))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0.937</v>
      </c>
      <c r="B8" s="3">
        <v>121.205</v>
      </c>
      <c r="D8" s="3">
        <v>0.937</v>
      </c>
      <c r="E8" s="3">
        <v>156.598</v>
      </c>
      <c r="G8" s="3">
        <v>255.921</v>
      </c>
      <c r="H8" s="3">
        <v>155.837</v>
      </c>
      <c r="J8" s="3">
        <v>423.373</v>
      </c>
      <c r="K8" s="3">
        <v>155.837</v>
      </c>
      <c r="M8" s="3">
        <v>357.596</v>
      </c>
      <c r="N8" s="3">
        <v>163.266</v>
      </c>
      <c r="P8" s="3">
        <v>215.2</v>
      </c>
      <c r="Q8" s="3">
        <v>193.894</v>
      </c>
      <c r="R8" s="1"/>
      <c r="S8" s="3">
        <v>320.999</v>
      </c>
      <c r="T8" s="3">
        <v>174.865</v>
      </c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423.373</v>
      </c>
      <c r="B9" s="3">
        <v>120.824</v>
      </c>
      <c r="D9" s="3">
        <v>40.517</v>
      </c>
      <c r="E9" s="3">
        <v>156.598</v>
      </c>
      <c r="G9" s="3">
        <v>379.607</v>
      </c>
      <c r="H9" s="3">
        <v>155.837</v>
      </c>
      <c r="J9" s="3">
        <v>423.373</v>
      </c>
      <c r="K9" s="3">
        <v>166.112</v>
      </c>
      <c r="M9" s="3">
        <v>379.607</v>
      </c>
      <c r="N9" s="3">
        <v>155.837</v>
      </c>
      <c r="P9" s="3">
        <v>218.244</v>
      </c>
      <c r="Q9" s="3">
        <v>193.894</v>
      </c>
      <c r="R9" s="1"/>
      <c r="S9" s="3">
        <v>349.162</v>
      </c>
      <c r="T9" s="3">
        <v>166.112</v>
      </c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423.373</v>
      </c>
      <c r="B10" s="3">
        <v>139.853</v>
      </c>
      <c r="D10" s="3">
        <v>174.098</v>
      </c>
      <c r="E10" s="3">
        <v>156.598</v>
      </c>
      <c r="G10" s="3">
        <v>423.373</v>
      </c>
      <c r="H10" s="3">
        <v>155.837</v>
      </c>
      <c r="J10" s="3">
        <v>349.162</v>
      </c>
      <c r="K10" s="3">
        <v>166.112</v>
      </c>
      <c r="M10" s="3">
        <v>255.921</v>
      </c>
      <c r="N10" s="3">
        <v>155.837</v>
      </c>
      <c r="P10" s="3">
        <v>218.625</v>
      </c>
      <c r="Q10" s="3">
        <v>165.456</v>
      </c>
      <c r="R10" s="1"/>
      <c r="S10" s="3">
        <v>357.596</v>
      </c>
      <c r="T10" s="3">
        <v>163.266</v>
      </c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225.856</v>
      </c>
      <c r="B11" s="3">
        <v>139.853</v>
      </c>
      <c r="D11" s="3">
        <v>204.163</v>
      </c>
      <c r="E11" s="3">
        <v>139.853</v>
      </c>
      <c r="G11" s="3">
        <v>423.373</v>
      </c>
      <c r="H11" s="3">
        <v>139.853</v>
      </c>
      <c r="J11" s="3">
        <v>357.596</v>
      </c>
      <c r="K11" s="3">
        <v>163.266</v>
      </c>
      <c r="M11" s="3">
        <v>225.856</v>
      </c>
      <c r="N11" s="3">
        <v>139.853</v>
      </c>
      <c r="P11" s="3">
        <v>215.2</v>
      </c>
      <c r="Q11" s="3">
        <v>165.456</v>
      </c>
      <c r="R11" s="1"/>
      <c r="S11" s="3">
        <v>218.625</v>
      </c>
      <c r="T11" s="3">
        <v>165.456</v>
      </c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204.163</v>
      </c>
      <c r="B12" s="3">
        <v>139.853</v>
      </c>
      <c r="D12" s="3">
        <v>0.937</v>
      </c>
      <c r="E12" s="3">
        <v>139.853</v>
      </c>
      <c r="G12" s="3">
        <v>225.856</v>
      </c>
      <c r="H12" s="3">
        <v>139.853</v>
      </c>
      <c r="J12" s="3">
        <v>379.607</v>
      </c>
      <c r="K12" s="3">
        <v>155.837</v>
      </c>
      <c r="M12" s="3">
        <v>204.163</v>
      </c>
      <c r="N12" s="3">
        <v>139.853</v>
      </c>
      <c r="P12" s="3"/>
      <c r="Q12" s="3"/>
      <c r="R12" s="1"/>
      <c r="S12" s="3">
        <v>218.244</v>
      </c>
      <c r="T12" s="3">
        <v>193.894</v>
      </c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0.937</v>
      </c>
      <c r="B13" s="3">
        <v>139.853</v>
      </c>
      <c r="D13" s="3"/>
      <c r="E13" s="3"/>
      <c r="G13" s="3"/>
      <c r="H13" s="3"/>
      <c r="J13" s="3"/>
      <c r="K13" s="3"/>
      <c r="M13" s="3">
        <v>174.098</v>
      </c>
      <c r="N13" s="3">
        <v>156.598</v>
      </c>
      <c r="P13" s="3"/>
      <c r="Q13" s="3"/>
      <c r="R13" s="1"/>
      <c r="S13" s="3">
        <v>215.2</v>
      </c>
      <c r="T13" s="3">
        <v>193.894</v>
      </c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>
        <v>40.517</v>
      </c>
      <c r="N14" s="3">
        <v>156.598</v>
      </c>
      <c r="P14" s="3"/>
      <c r="Q14" s="3"/>
      <c r="R14" s="1"/>
      <c r="S14" s="3">
        <v>215.2</v>
      </c>
      <c r="T14" s="3">
        <v>165.456</v>
      </c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>
        <v>66.125</v>
      </c>
      <c r="N15" s="3">
        <v>165.456</v>
      </c>
      <c r="P15" s="3"/>
      <c r="Q15" s="3"/>
      <c r="R15" s="1"/>
      <c r="S15" s="3">
        <v>66.125</v>
      </c>
      <c r="T15" s="3">
        <v>165.456</v>
      </c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>
        <v>215.2</v>
      </c>
      <c r="N16" s="3">
        <v>165.456</v>
      </c>
      <c r="P16" s="3"/>
      <c r="Q16" s="3"/>
      <c r="R16" s="1"/>
      <c r="S16" s="3">
        <v>101.028</v>
      </c>
      <c r="T16" s="3">
        <v>177.529</v>
      </c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>
        <v>218.625</v>
      </c>
      <c r="N17" s="3">
        <v>165.456</v>
      </c>
      <c r="P17" s="3"/>
      <c r="Q17" s="3"/>
      <c r="R17" s="1"/>
      <c r="S17" s="3">
        <v>158.875</v>
      </c>
      <c r="T17" s="3">
        <v>182.857</v>
      </c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>
        <v>210.633</v>
      </c>
      <c r="T18" s="3">
        <v>198.842</v>
      </c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>
        <v>219.767</v>
      </c>
      <c r="T19" s="3">
        <v>198.842</v>
      </c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>
        <v>258.205</v>
      </c>
      <c r="T20" s="3">
        <v>185.141</v>
      </c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>
        <v>306.537</v>
      </c>
      <c r="T21" s="3">
        <v>175.627</v>
      </c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 t="inlineStr">
        <is>
          <t>piezo</t>
        </is>
      </c>
      <c r="D3" s="34" t="s">
        <v>198</v>
      </c>
      <c r="E3" s="35" t="inlineStr">
        <is>
          <t>piezo</t>
        </is>
      </c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200</v>
      </c>
    </row>
    <row r="6" spans="1:8" x14ac:dyDescent="0.2">
      <c r="A6" s="3"/>
      <c r="B6" s="3"/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>
        <v>320.175</v>
      </c>
      <c r="C3" s="3">
        <v>313.336</v>
      </c>
      <c r="D3" s="3" t="inlineStr">
        <is>
          <t>Depth</t>
        </is>
      </c>
      <c r="E3" s="3">
        <v>145.347</v>
      </c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>
        <v>295.235</v>
      </c>
      <c r="C4" s="3">
        <v>277.589</v>
      </c>
      <c r="D4" s="3" t="inlineStr">
        <is>
          <t>Depth</t>
        </is>
      </c>
      <c r="E4" s="3">
        <v>156.298</v>
      </c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>
        <v>303.683</v>
      </c>
      <c r="C5" s="3">
        <v>310.206</v>
      </c>
      <c r="D5" s="3" t="inlineStr">
        <is>
          <t>Depth</t>
        </is>
      </c>
      <c r="E5" s="3">
        <v>155.928</v>
      </c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>
        <v>322.152</v>
      </c>
      <c r="C6" s="3">
        <v>310.206</v>
      </c>
      <c r="D6" s="3" t="inlineStr">
        <is>
          <t>Depth</t>
        </is>
      </c>
      <c r="E6" s="3">
        <v>145.36</v>
      </c>
      <c r="F6" s="3"/>
      <c r="G6" s="3"/>
      <c r="H6" s="3"/>
    </row>
    <row r="7" spans="1:14" x14ac:dyDescent="0.2">
      <c r="A7" s="3">
        <v>5</v>
      </c>
      <c r="B7" s="3">
        <v>327.693</v>
      </c>
      <c r="C7" s="3">
        <v>324.018</v>
      </c>
      <c r="D7" s="3" t="inlineStr">
        <is>
          <t>Depth</t>
        </is>
      </c>
      <c r="E7" s="3">
        <v>147.163</v>
      </c>
      <c r="F7" s="3"/>
      <c r="G7" s="3"/>
      <c r="H7" s="3"/>
      <c r="J7" s="5" t="s">
        <v>217</v>
      </c>
    </row>
    <row r="8" spans="1:14" x14ac:dyDescent="0.2">
      <c r="A8" s="3">
        <v>6</v>
      </c>
      <c r="B8" s="3">
        <v>304.239</v>
      </c>
      <c r="C8" s="3">
        <v>307.858</v>
      </c>
      <c r="D8" s="3" t="inlineStr">
        <is>
          <t>Depth</t>
        </is>
      </c>
      <c r="E8" s="3">
        <v>155.311</v>
      </c>
      <c r="F8" s="3"/>
      <c r="G8" s="3"/>
      <c r="H8" s="3"/>
      <c r="J8" s="14" t="s">
        <v>218</v>
      </c>
      <c r="K8"/>
    </row>
    <row r="9" spans="1:14" x14ac:dyDescent="0.2">
      <c r="A9" s="3">
        <v>7</v>
      </c>
      <c r="B9" s="3">
        <v>313.114</v>
      </c>
      <c r="C9" s="3">
        <v>304.784</v>
      </c>
      <c r="D9" s="3" t="inlineStr">
        <is>
          <t>Depth</t>
        </is>
      </c>
      <c r="E9" s="3">
        <v>160.368</v>
      </c>
      <c r="F9" s="3"/>
      <c r="G9" s="3"/>
      <c r="H9" s="3"/>
      <c r="J9" s="14" t="s">
        <v>219</v>
      </c>
      <c r="K9"/>
    </row>
    <row r="10" spans="1:14" x14ac:dyDescent="0.2">
      <c r="A10" s="3">
        <v>8</v>
      </c>
      <c r="B10" s="3">
        <v>314.856</v>
      </c>
      <c r="C10" s="3">
        <v>305.604</v>
      </c>
      <c r="D10" s="3" t="inlineStr">
        <is>
          <t>Depth</t>
        </is>
      </c>
      <c r="E10" s="3">
        <v>165.756</v>
      </c>
      <c r="F10" s="3"/>
      <c r="G10" s="3"/>
      <c r="H10" s="3"/>
      <c r="J10" s="14" t="s">
        <v>220</v>
      </c>
      <c r="K10"/>
    </row>
    <row r="11" spans="1:14" x14ac:dyDescent="0.2">
      <c r="A11" s="3">
        <v>9</v>
      </c>
      <c r="B11" s="3">
        <v>316.198</v>
      </c>
      <c r="C11" s="3">
        <v>305.604</v>
      </c>
      <c r="D11" s="3" t="inlineStr">
        <is>
          <t>Depth</t>
        </is>
      </c>
      <c r="E11" s="3">
        <v>170.537</v>
      </c>
      <c r="F11" s="3"/>
      <c r="G11" s="3"/>
      <c r="H11" s="3"/>
      <c r="J11" s="14" t="s">
        <v>221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  <c r="K12"/>
    </row>
    <row r="13" spans="1:14" x14ac:dyDescent="0.2">
      <c r="J13" s="14" t="s">
        <v>223</v>
      </c>
      <c r="K13"/>
    </row>
    <row r="14" spans="1:14" x14ac:dyDescent="0.2">
      <c r="J14" s="14" t="s">
        <v>224</v>
      </c>
      <c r="K14"/>
    </row>
    <row r="15" spans="1:14" x14ac:dyDescent="0.2">
      <c r="J15" s="14" t="s">
        <v>225</v>
      </c>
      <c r="K15"/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/>
      <c r="B3" s="3"/>
      <c r="C3" s="3"/>
      <c r="E3" t="s">
        <v>231</v>
      </c>
      <c r="F3" t="s">
        <v>232</v>
      </c>
    </row>
    <row r="4" spans="1:6" x14ac:dyDescent="0.2">
      <c r="A4" s="3"/>
      <c r="B4" s="3"/>
      <c r="C4" s="3"/>
      <c r="E4" t="s">
        <v>233</v>
      </c>
      <c r="F4" t="s">
        <v>234</v>
      </c>
    </row>
    <row r="5" spans="1:6" x14ac:dyDescent="0.2">
      <c r="A5" s="3"/>
      <c r="B5" s="3"/>
      <c r="C5" s="3"/>
      <c r="E5" t="s">
        <v>235</v>
      </c>
      <c r="F5" t="s">
        <v>236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s">
        <v>290</v>
      </c>
      <c r="F3" s="33"/>
      <c r="H3" s="32" t="s">
        <v>290</v>
      </c>
      <c r="I3" s="33"/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2026-07-28T20:36:44Z</dcterms:modified>
</cp:coreProperties>
</file>