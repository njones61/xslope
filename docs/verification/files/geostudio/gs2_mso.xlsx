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<sst xmlns="http://schemas.openxmlformats.org/spreadsheetml/2006/main" count="624" uniqueCount="329">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</sst>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9.7893660333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Sample (coarse sand)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0.0009009</v>
      </c>
      <c r="AH11" s="3">
        <v>0.0009009</v>
      </c>
      <c r="AI11" s="3">
        <v>0.0</v>
      </c>
      <c r="AJ11" s="3" t="inlineStr">
        <is>
          <t>vg</t>
        </is>
      </c>
      <c r="AK11" s="3">
        <v>0.001</v>
      </c>
      <c r="AL11" s="3">
        <v>-0.4</v>
      </c>
      <c r="AM11" s="3">
        <v>8.893966</v>
      </c>
      <c r="AN11" s="3">
        <v>10.19041</v>
      </c>
      <c r="AO11" s="3">
        <v>0.295141</v>
      </c>
      <c r="AP11" s="3">
        <v>1e-05</v>
      </c>
      <c r="AQ11" s="3">
        <v>0.3189616</v>
      </c>
    </row>
    <row r="12" spans="1:43" x14ac:dyDescent="0.2">
      <c r="A12" s="3">
        <v>2</v>
      </c>
      <c r="B12" s="3" t="inlineStr">
        <is>
          <t>Porous plate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100000.0</v>
      </c>
      <c r="N12" s="3">
        <v>0.3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5.8333e-06</v>
      </c>
      <c r="AH12" s="3">
        <v>5.8333e-06</v>
      </c>
      <c r="AI12" s="3">
        <v>0.0</v>
      </c>
      <c r="AJ12" s="3" t="inlineStr">
        <is>
          <t>lf</t>
        </is>
      </c>
      <c r="AK12" s="3">
        <v>0.001</v>
      </c>
      <c r="AL12" s="3">
        <v>-0.4</v>
      </c>
      <c r="AM12" s="18">
        <v>0.0</v>
      </c>
      <c r="AN12" s="19">
        <v>0.0</v>
      </c>
      <c r="AO12" s="19">
        <v>0.5</v>
      </c>
      <c r="AP12" s="19">
        <v>1e-05</v>
      </c>
      <c r="AQ12" s="19">
        <v>0.01</v>
      </c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0.007</v>
      </c>
      <c r="D10" s="3">
        <v>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0.006</v>
      </c>
      <c r="B11" s="3">
        <v>0.007</v>
      </c>
      <c r="D11" s="3">
        <v>0.006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0.006</v>
      </c>
      <c r="B12" s="3">
        <v>0.1234</v>
      </c>
      <c r="D12" s="3">
        <v>0.006</v>
      </c>
      <c r="E12" s="3">
        <v>0.007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0.0</v>
      </c>
      <c r="B13" s="3">
        <v>0.1234</v>
      </c>
      <c r="D13" s="3">
        <v>0.0</v>
      </c>
      <c r="E13" s="3">
        <v>0.007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 t="inlineStr">
        <is>
          <t>base</t>
        </is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0.006</v>
      </c>
      <c r="F6" s="3">
        <v>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base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-0.072801</v>
      </c>
      <c r="D3" s="3"/>
      <c r="E3" s="3"/>
      <c r="F3" s="3"/>
      <c r="G3" s="3"/>
      <c r="I3" s="14" t="s">
        <v>297</v>
      </c>
      <c r="J3" s="3">
        <v>219621.96</v>
      </c>
    </row>
    <row r="4" spans="2:10" x14ac:dyDescent="0.2">
      <c r="B4" s="3">
        <v>0.0</v>
      </c>
      <c r="C4" s="3">
        <v>-0.093215</v>
      </c>
      <c r="D4" s="3"/>
      <c r="E4" s="3"/>
      <c r="F4" s="3"/>
      <c r="G4" s="3"/>
      <c r="I4" s="14"/>
      <c r="J4" s="1"/>
    </row>
    <row r="5" spans="2:10" x14ac:dyDescent="0.2">
      <c r="B5" s="3">
        <v>46700.0</v>
      </c>
      <c r="C5" s="3">
        <v>-0.093215</v>
      </c>
      <c r="D5" s="3"/>
      <c r="E5" s="3"/>
      <c r="F5" s="3"/>
      <c r="G5" s="3"/>
      <c r="I5" s="14" t="s">
        <v>298</v>
      </c>
      <c r="J5" s="3"/>
    </row>
    <row r="6" spans="2:10" x14ac:dyDescent="0.2">
      <c r="B6" s="3">
        <v>46700.0</v>
      </c>
      <c r="C6" s="3">
        <v>-0.113625</v>
      </c>
      <c r="D6" s="3"/>
      <c r="E6" s="3"/>
      <c r="F6" s="3"/>
      <c r="G6" s="3"/>
      <c r="I6" s="14"/>
      <c r="J6" s="1"/>
    </row>
    <row r="7" spans="2:10" x14ac:dyDescent="0.2">
      <c r="B7" s="3">
        <v>81000.0</v>
      </c>
      <c r="C7" s="3">
        <v>-0.113625</v>
      </c>
      <c r="D7" s="3"/>
      <c r="E7" s="3"/>
      <c r="F7" s="3"/>
      <c r="G7" s="3"/>
      <c r="I7" s="14" t="s">
        <v>299</v>
      </c>
      <c r="J7" s="3"/>
    </row>
    <row r="8" spans="2:10" x14ac:dyDescent="0.2">
      <c r="B8" s="3">
        <v>81000.0</v>
      </c>
      <c r="C8" s="3">
        <v>-0.13408</v>
      </c>
      <c r="D8" s="3"/>
      <c r="E8" s="3"/>
      <c r="F8" s="3"/>
      <c r="G8" s="3"/>
      <c r="I8" s="14" t="s">
        <v>300</v>
      </c>
      <c r="J8" s="3"/>
    </row>
    <row r="9" spans="2:10" x14ac:dyDescent="0.2">
      <c r="B9" s="3">
        <v>133000.0</v>
      </c>
      <c r="C9" s="3">
        <v>-0.13408</v>
      </c>
      <c r="D9" s="3"/>
      <c r="E9" s="3"/>
      <c r="F9" s="3"/>
      <c r="G9" s="3"/>
      <c r="I9" s="14" t="s">
        <v>301</v>
      </c>
      <c r="J9" s="3"/>
    </row>
    <row r="10" spans="2:10" x14ac:dyDescent="0.2">
      <c r="B10" s="3">
        <v>133000.0</v>
      </c>
      <c r="C10" s="3">
        <v>-0.154472</v>
      </c>
      <c r="D10" s="3"/>
      <c r="E10" s="3"/>
      <c r="F10" s="3"/>
      <c r="G10" s="3"/>
    </row>
    <row r="11" spans="2:10" x14ac:dyDescent="0.2">
      <c r="B11" s="3">
        <v>168670.0</v>
      </c>
      <c r="C11" s="3">
        <v>-0.154472</v>
      </c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>
        <v>168670.0</v>
      </c>
      <c r="C12" s="3">
        <v>-0.174902</v>
      </c>
      <c r="D12" s="3"/>
      <c r="E12" s="3"/>
      <c r="F12" s="3"/>
      <c r="G12" s="3"/>
      <c r="J12" s="4">
        <v>46000.0</v>
      </c>
    </row>
    <row r="13" spans="2:10" x14ac:dyDescent="0.2">
      <c r="B13" s="3">
        <v>219600.0</v>
      </c>
      <c r="C13" s="3">
        <v>-0.174902</v>
      </c>
      <c r="D13" s="3"/>
      <c r="E13" s="3"/>
      <c r="F13" s="3"/>
      <c r="G13" s="3"/>
      <c r="J13" s="4">
        <v>132000.0</v>
      </c>
    </row>
    <row r="14" spans="2:10" x14ac:dyDescent="0.2">
      <c r="B14" s="3"/>
      <c r="C14" s="3"/>
      <c r="D14" s="3"/>
      <c r="E14" s="3"/>
      <c r="F14" s="3"/>
      <c r="G14" s="3"/>
      <c r="J14" s="4">
        <v>219600.0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