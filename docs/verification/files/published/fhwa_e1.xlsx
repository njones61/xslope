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12967D2-A998-D342-B5ED-43CABE326A3A}" xr6:coauthVersionLast="47" xr6:coauthVersionMax="47" xr10:uidLastSave="{00000000-0000-0000-0000-000000000000}"/>
  <bookViews>
    <workbookView xWindow="15680" yWindow="478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<sst xmlns="http://schemas.openxmlformats.org/spreadsheetml/2006/main" count="602" uniqueCount="319">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</sst>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26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fill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  <c r="AQ11" s="3"/>
    </row>
    <row r="12" spans="1:43" x14ac:dyDescent="0.2">
      <c r="A12" s="3">
        <v>2</v>
      </c>
      <c r="B12" s="3" t="inlineStr">
        <is>
          <t>Retained backfill</t>
        </is>
      </c>
      <c r="C12" s="3">
        <v>125.0</v>
      </c>
      <c r="D12" s="3"/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  <c r="AQ12" s="19"/>
    </row>
    <row r="13" spans="1:43" x14ac:dyDescent="0.2">
      <c r="A13" s="3">
        <v>3</v>
      </c>
      <c r="B13" s="3" t="inlineStr">
        <is>
          <t>Foundation</t>
        </is>
      </c>
      <c r="C13" s="3">
        <v>125.0</v>
      </c>
      <c r="D13" s="3"/>
      <c r="E13" s="3" t="inlineStr">
        <is>
          <t>mc</t>
        </is>
      </c>
      <c r="F13" s="3">
        <v>0.0</v>
      </c>
      <c r="G13" s="3">
        <v>30.0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/>
      <c r="N13" s="3"/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O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-15.0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>
        <v>18.0</v>
      </c>
      <c r="E10" s="3">
        <v>0.0</v>
      </c>
      <c r="G10" s="3">
        <v>-35.0</v>
      </c>
      <c r="H10" s="3">
        <v>2.0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18.0</v>
      </c>
      <c r="B11" s="3">
        <v>0.0</v>
      </c>
      <c r="D11" s="3">
        <v>60.0</v>
      </c>
      <c r="E11" s="3">
        <v>0.0</v>
      </c>
      <c r="G11" s="3">
        <v>0.0</v>
      </c>
      <c r="H11" s="3">
        <v>2.0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18.0</v>
      </c>
      <c r="B12" s="3">
        <v>29.0</v>
      </c>
      <c r="D12" s="3">
        <v>60.0</v>
      </c>
      <c r="E12" s="3">
        <v>29.0</v>
      </c>
      <c r="G12" s="3">
        <v>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20.0</v>
      </c>
      <c r="D13" s="3">
        <v>18.0</v>
      </c>
      <c r="E13" s="3">
        <v>29.0</v>
      </c>
      <c r="G13" s="3">
        <v>60.0</v>
      </c>
      <c r="H13" s="3">
        <v>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60.0</v>
      </c>
      <c r="H14" s="3">
        <v>-15.0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-35.0</v>
      </c>
      <c r="H15" s="3">
        <v>-15.0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9.0</v>
      </c>
      <c r="C3" s="3">
        <v>34.0</v>
      </c>
      <c r="D3" s="3" t="inlineStr">
        <is>
          <t>Depth</t>
        </is>
      </c>
      <c r="E3" s="3">
        <v>2.0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9.0</v>
      </c>
      <c r="C4" s="3">
        <v>34.0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>
        <v>18.0</v>
      </c>
      <c r="C7" s="3">
        <v>29.0</v>
      </c>
      <c r="D7" s="3">
        <v>250.0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60.0</v>
      </c>
      <c r="C8" s="3">
        <v>29.0</v>
      </c>
      <c r="D8" s="3">
        <v>250.0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AB2" t="s">
        <v>257</v>
      </c>
      <c r="AC2" t="s">
        <v>258</v>
      </c>
      <c r="AD2" t="s">
        <v>259</v>
      </c>
    </row>
    <row r="3" spans="1:30" x14ac:dyDescent="0.2">
      <c r="A3" s="3">
        <v>1</v>
      </c>
      <c r="B3" s="3" t="inlineStr">
        <is>
          <t>Layer 1 (GG-I)</t>
        </is>
      </c>
      <c r="C3" s="3">
        <v>0.0</v>
      </c>
      <c r="D3" s="3">
        <v>19.33</v>
      </c>
      <c r="E3" s="3">
        <v>18.0</v>
      </c>
      <c r="F3" s="3">
        <v>19.33</v>
      </c>
      <c r="G3" s="3" t="inlineStr">
        <is>
          <t>Geosynthetic</t>
        </is>
      </c>
      <c r="H3" s="3" t="str">
        <f>IF($G3="","",IFERROR(VLOOKUP($G3,$AB$8:$AD$11,2,0),""))</f>
        <v/>
      </c>
      <c r="I3" s="3" t="str">
        <f t="shared" ref="I3:I22" si="1">IF($G3="","",IFERROR(VLOOKUP($G3,$AB$8:$AD$11,3,0),""))</f>
        <v/>
      </c>
      <c r="J3" s="3">
        <v>1085.0</v>
      </c>
      <c r="K3" s="3">
        <v>0.0</v>
      </c>
      <c r="L3" s="3">
        <v>0.0</v>
      </c>
      <c r="M3" s="3">
        <v>0.0</v>
      </c>
      <c r="N3" s="3">
        <v>19.8</v>
      </c>
      <c r="O3" s="3">
        <v>1085.0</v>
      </c>
      <c r="P3" s="3">
        <v>0.0</v>
      </c>
      <c r="Q3" s="3">
        <v>1.0</v>
      </c>
      <c r="R3" s="3"/>
      <c r="S3" s="3">
        <v>0.0</v>
      </c>
      <c r="T3" s="3">
        <v>0.0</v>
      </c>
      <c r="AB3" t="s">
        <v>260</v>
      </c>
      <c r="AC3" t="s">
        <v>261</v>
      </c>
      <c r="AD3" t="s">
        <v>262</v>
      </c>
    </row>
    <row r="4" spans="1:30" x14ac:dyDescent="0.2">
      <c r="A4" s="3">
        <v>2</v>
      </c>
      <c r="B4" s="3" t="inlineStr">
        <is>
          <t>Layer 2 (GG-I)</t>
        </is>
      </c>
      <c r="C4" s="3">
        <v>0.0</v>
      </c>
      <c r="D4" s="3">
        <v>17.33</v>
      </c>
      <c r="E4" s="3">
        <v>18.0</v>
      </c>
      <c r="F4" s="3">
        <v>17.33</v>
      </c>
      <c r="G4" s="3" t="inlineStr">
        <is>
          <t>Geosynthetic</t>
        </is>
      </c>
      <c r="H4" s="3" t="str">
        <f>IF($G4="","",IFERROR(VLOOKUP($G4,$AB$8:$AD$11,2,0),""))</f>
        <v/>
      </c>
      <c r="I4" s="3" t="str">
        <f t="shared" si="1"/>
        <v/>
      </c>
      <c r="J4" s="3">
        <v>1085.0</v>
      </c>
      <c r="K4" s="3">
        <v>0.0</v>
      </c>
      <c r="L4" s="3">
        <v>0.0</v>
      </c>
      <c r="M4" s="3">
        <v>0.0</v>
      </c>
      <c r="N4" s="3">
        <v>19.8</v>
      </c>
      <c r="O4" s="3">
        <v>1085.0</v>
      </c>
      <c r="P4" s="3">
        <v>0.0</v>
      </c>
      <c r="Q4" s="3">
        <v>1.0</v>
      </c>
      <c r="R4" s="3"/>
      <c r="S4" s="3">
        <v>0.0</v>
      </c>
      <c r="T4" s="3">
        <v>0.0</v>
      </c>
      <c r="AB4" t="s">
        <v>263</v>
      </c>
    </row>
    <row r="5" spans="1:30" x14ac:dyDescent="0.2">
      <c r="A5" s="3">
        <v>3</v>
      </c>
      <c r="B5" s="3" t="inlineStr">
        <is>
          <t>Layer 3 (GG-I)</t>
        </is>
      </c>
      <c r="C5" s="3">
        <v>0.0</v>
      </c>
      <c r="D5" s="3">
        <v>15.33</v>
      </c>
      <c r="E5" s="3">
        <v>18.0</v>
      </c>
      <c r="F5" s="3">
        <v>15.33</v>
      </c>
      <c r="G5" s="3" t="inlineStr">
        <is>
          <t>Geosynthetic</t>
        </is>
      </c>
      <c r="H5" s="3" t="str">
        <f>IF($G5="","",IFERROR(VLOOKUP($G5,$AB$8:$AD$11,2,0),""))</f>
        <v/>
      </c>
      <c r="I5" s="3" t="str">
        <f t="shared" si="1"/>
        <v/>
      </c>
      <c r="J5" s="3">
        <v>1085.0</v>
      </c>
      <c r="K5" s="3">
        <v>0.0</v>
      </c>
      <c r="L5" s="3">
        <v>0.0</v>
      </c>
      <c r="M5" s="3">
        <v>0.0</v>
      </c>
      <c r="N5" s="3">
        <v>19.8</v>
      </c>
      <c r="O5" s="3">
        <v>1085.0</v>
      </c>
      <c r="P5" s="3">
        <v>0.0</v>
      </c>
      <c r="Q5" s="3">
        <v>1.0</v>
      </c>
      <c r="R5" s="3"/>
      <c r="S5" s="3">
        <v>0.0</v>
      </c>
      <c r="T5" s="3">
        <v>0.0</v>
      </c>
      <c r="AB5" t="s">
        <v>264</v>
      </c>
    </row>
    <row r="6" spans="1:30" x14ac:dyDescent="0.2">
      <c r="A6" s="3">
        <v>4</v>
      </c>
      <c r="B6" s="3" t="inlineStr">
        <is>
          <t>Layer 4 (GG-I)</t>
        </is>
      </c>
      <c r="C6" s="3">
        <v>0.0</v>
      </c>
      <c r="D6" s="3">
        <v>13.33</v>
      </c>
      <c r="E6" s="3">
        <v>18.0</v>
      </c>
      <c r="F6" s="3">
        <v>13.33</v>
      </c>
      <c r="G6" s="3" t="inlineStr">
        <is>
          <t>Geosynthetic</t>
        </is>
      </c>
      <c r="H6" s="3" t="str">
        <f>IF($G6="","",IFERROR(VLOOKUP($G6,$AB$8:$AD$11,2,0),""))</f>
        <v/>
      </c>
      <c r="I6" s="3" t="str">
        <f t="shared" si="1"/>
        <v/>
      </c>
      <c r="J6" s="3">
        <v>1085.0</v>
      </c>
      <c r="K6" s="3">
        <v>0.0</v>
      </c>
      <c r="L6" s="3">
        <v>0.0</v>
      </c>
      <c r="M6" s="3">
        <v>0.0</v>
      </c>
      <c r="N6" s="3">
        <v>19.8</v>
      </c>
      <c r="O6" s="3">
        <v>1085.0</v>
      </c>
      <c r="P6" s="3">
        <v>0.0</v>
      </c>
      <c r="Q6" s="3">
        <v>1.0</v>
      </c>
      <c r="R6" s="3"/>
      <c r="S6" s="3">
        <v>0.0</v>
      </c>
      <c r="T6" s="3">
        <v>0.0</v>
      </c>
    </row>
    <row r="7" spans="1:30" x14ac:dyDescent="0.2">
      <c r="A7" s="3">
        <v>5</v>
      </c>
      <c r="B7" s="3" t="inlineStr">
        <is>
          <t>Layer 5 (GG-II)</t>
        </is>
      </c>
      <c r="C7" s="3">
        <v>0.0</v>
      </c>
      <c r="D7" s="3">
        <v>11.33</v>
      </c>
      <c r="E7" s="3">
        <v>18.0</v>
      </c>
      <c r="F7" s="3">
        <v>11.33</v>
      </c>
      <c r="G7" s="3" t="inlineStr">
        <is>
          <t>Geosynthetic</t>
        </is>
      </c>
      <c r="H7" s="3" t="str">
        <f>IF($G7="","",IFERROR(VLOOKUP($G7,$AB$8:$AD$11,2,0),""))</f>
        <v/>
      </c>
      <c r="I7" s="3" t="str">
        <f t="shared" si="1"/>
        <v/>
      </c>
      <c r="J7" s="3">
        <v>2169.0</v>
      </c>
      <c r="K7" s="3">
        <v>0.0</v>
      </c>
      <c r="L7" s="3">
        <v>0.0</v>
      </c>
      <c r="M7" s="3">
        <v>0.0</v>
      </c>
      <c r="N7" s="3">
        <v>19.8</v>
      </c>
      <c r="O7" s="3">
        <v>2169.0</v>
      </c>
      <c r="P7" s="3">
        <v>0.0</v>
      </c>
      <c r="Q7" s="3">
        <v>1.0</v>
      </c>
      <c r="R7" s="3"/>
      <c r="S7" s="3">
        <v>0.0</v>
      </c>
      <c r="T7" s="3">
        <v>0.0</v>
      </c>
    </row>
    <row r="8" spans="1:30" x14ac:dyDescent="0.2">
      <c r="A8" s="3">
        <v>6</v>
      </c>
      <c r="B8" s="3" t="inlineStr">
        <is>
          <t>Layer 6 (GG-II)</t>
        </is>
      </c>
      <c r="C8" s="3">
        <v>0.0</v>
      </c>
      <c r="D8" s="3">
        <v>9.33</v>
      </c>
      <c r="E8" s="3">
        <v>18.0</v>
      </c>
      <c r="F8" s="3">
        <v>9.33</v>
      </c>
      <c r="G8" s="3" t="inlineStr">
        <is>
          <t>Geosynthetic</t>
        </is>
      </c>
      <c r="H8" s="3" t="str">
        <f>IF($G8="","",IFERROR(VLOOKUP($G8,$AB$8:$AD$11,2,0),""))</f>
        <v/>
      </c>
      <c r="I8" s="3" t="str">
        <f t="shared" si="1"/>
        <v/>
      </c>
      <c r="J8" s="3">
        <v>2169.0</v>
      </c>
      <c r="K8" s="3">
        <v>0.0</v>
      </c>
      <c r="L8" s="3">
        <v>0.0</v>
      </c>
      <c r="M8" s="3">
        <v>0.0</v>
      </c>
      <c r="N8" s="3">
        <v>19.8</v>
      </c>
      <c r="O8" s="3">
        <v>2169.0</v>
      </c>
      <c r="P8" s="3">
        <v>0.0</v>
      </c>
      <c r="Q8" s="3">
        <v>1.0</v>
      </c>
      <c r="R8" s="3"/>
      <c r="S8" s="3">
        <v>0.0</v>
      </c>
      <c r="T8" s="3">
        <v>0.0</v>
      </c>
      <c r="AB8" t="s">
        <v>257</v>
      </c>
      <c r="AC8" t="s">
        <v>258</v>
      </c>
      <c r="AD8" t="s">
        <v>259</v>
      </c>
    </row>
    <row r="9" spans="1:30" x14ac:dyDescent="0.2">
      <c r="A9" s="3">
        <v>7</v>
      </c>
      <c r="B9" s="3" t="inlineStr">
        <is>
          <t>Layer 7 (GG-II)</t>
        </is>
      </c>
      <c r="C9" s="3">
        <v>0.0</v>
      </c>
      <c r="D9" s="3">
        <v>7.33</v>
      </c>
      <c r="E9" s="3">
        <v>18.0</v>
      </c>
      <c r="F9" s="3">
        <v>7.33</v>
      </c>
      <c r="G9" s="3" t="inlineStr">
        <is>
          <t>Geosynthetic</t>
        </is>
      </c>
      <c r="H9" s="3" t="str">
        <f>IF($G9="","",IFERROR(VLOOKUP($G9,$AB$8:$AD$11,2,0),""))</f>
        <v/>
      </c>
      <c r="I9" s="3" t="str">
        <f t="shared" si="1"/>
        <v/>
      </c>
      <c r="J9" s="3">
        <v>2169.0</v>
      </c>
      <c r="K9" s="3">
        <v>0.0</v>
      </c>
      <c r="L9" s="3">
        <v>0.0</v>
      </c>
      <c r="M9" s="3">
        <v>0.0</v>
      </c>
      <c r="N9" s="3">
        <v>19.8</v>
      </c>
      <c r="O9" s="3">
        <v>2169.0</v>
      </c>
      <c r="P9" s="3">
        <v>0.0</v>
      </c>
      <c r="Q9" s="3">
        <v>1.0</v>
      </c>
      <c r="R9" s="3"/>
      <c r="S9" s="3">
        <v>0.0</v>
      </c>
      <c r="T9" s="3">
        <v>0.0</v>
      </c>
      <c r="AB9" t="s">
        <v>260</v>
      </c>
      <c r="AC9" t="s">
        <v>261</v>
      </c>
      <c r="AD9" t="s">
        <v>262</v>
      </c>
    </row>
    <row r="10" spans="1:30" x14ac:dyDescent="0.2">
      <c r="A10" s="3">
        <v>8</v>
      </c>
      <c r="B10" s="3" t="inlineStr">
        <is>
          <t>Layer 8 (GG-II)</t>
        </is>
      </c>
      <c r="C10" s="3">
        <v>0.0</v>
      </c>
      <c r="D10" s="3">
        <v>5.33</v>
      </c>
      <c r="E10" s="3">
        <v>18.0</v>
      </c>
      <c r="F10" s="3">
        <v>5.33</v>
      </c>
      <c r="G10" s="3" t="inlineStr">
        <is>
          <t>Geosynthetic</t>
        </is>
      </c>
      <c r="H10" s="3" t="str">
        <f>IF($G10="","",IFERROR(VLOOKUP($G10,$AB$8:$AD$11,2,0),""))</f>
        <v/>
      </c>
      <c r="I10" s="3" t="str">
        <f t="shared" si="1"/>
        <v/>
      </c>
      <c r="J10" s="3">
        <v>2169.0</v>
      </c>
      <c r="K10" s="3">
        <v>0.0</v>
      </c>
      <c r="L10" s="3">
        <v>0.0</v>
      </c>
      <c r="M10" s="3">
        <v>0.0</v>
      </c>
      <c r="N10" s="3">
        <v>19.8</v>
      </c>
      <c r="O10" s="3">
        <v>2169.0</v>
      </c>
      <c r="P10" s="3">
        <v>0.0</v>
      </c>
      <c r="Q10" s="3">
        <v>1.0</v>
      </c>
      <c r="R10" s="3"/>
      <c r="S10" s="3">
        <v>0.0</v>
      </c>
      <c r="T10" s="3">
        <v>0.0</v>
      </c>
      <c r="AB10" t="s">
        <v>263</v>
      </c>
      <c r="AC10" t="s">
        <v>261</v>
      </c>
      <c r="AD10" t="s">
        <v>259</v>
      </c>
    </row>
    <row r="11" spans="1:30" x14ac:dyDescent="0.2">
      <c r="A11" s="3">
        <v>9</v>
      </c>
      <c r="B11" s="3" t="inlineStr">
        <is>
          <t>Layer 9 (GG-II)</t>
        </is>
      </c>
      <c r="C11" s="3">
        <v>0.0</v>
      </c>
      <c r="D11" s="3">
        <v>3.33</v>
      </c>
      <c r="E11" s="3">
        <v>18.0</v>
      </c>
      <c r="F11" s="3">
        <v>3.33</v>
      </c>
      <c r="G11" s="3" t="inlineStr">
        <is>
          <t>Geosynthetic</t>
        </is>
      </c>
      <c r="H11" s="3" t="str">
        <f>IF($G11="","",IFERROR(VLOOKUP($G11,$AB$8:$AD$11,2,0),""))</f>
        <v/>
      </c>
      <c r="I11" s="3" t="str">
        <f t="shared" si="1"/>
        <v/>
      </c>
      <c r="J11" s="3">
        <v>2169.0</v>
      </c>
      <c r="K11" s="3">
        <v>0.0</v>
      </c>
      <c r="L11" s="3">
        <v>0.0</v>
      </c>
      <c r="M11" s="3">
        <v>0.0</v>
      </c>
      <c r="N11" s="3">
        <v>19.8</v>
      </c>
      <c r="O11" s="3">
        <v>2169.0</v>
      </c>
      <c r="P11" s="3">
        <v>0.0</v>
      </c>
      <c r="Q11" s="3">
        <v>1.0</v>
      </c>
      <c r="R11" s="3"/>
      <c r="S11" s="3">
        <v>0.0</v>
      </c>
      <c r="T11" s="3">
        <v>0.0</v>
      </c>
      <c r="AB11" t="s">
        <v>264</v>
      </c>
      <c r="AC11" t="s">
        <v>261</v>
      </c>
      <c r="AD11" t="s">
        <v>259</v>
      </c>
    </row>
    <row r="12" spans="1:30" x14ac:dyDescent="0.2">
      <c r="A12" s="3">
        <v>10</v>
      </c>
      <c r="B12" s="3" t="inlineStr">
        <is>
          <t>Layer 10 (GG-II)</t>
        </is>
      </c>
      <c r="C12" s="3">
        <v>0.0</v>
      </c>
      <c r="D12" s="3">
        <v>1.33</v>
      </c>
      <c r="E12" s="3">
        <v>18.0</v>
      </c>
      <c r="F12" s="3">
        <v>1.33</v>
      </c>
      <c r="G12" s="3" t="inlineStr">
        <is>
          <t>Geosynthetic</t>
        </is>
      </c>
      <c r="H12" s="3" t="str">
        <f>IF($G12="","",IFERROR(VLOOKUP($G12,$AB$8:$AD$11,2,0),""))</f>
        <v/>
      </c>
      <c r="I12" s="3" t="str">
        <f t="shared" si="1"/>
        <v/>
      </c>
      <c r="J12" s="3">
        <v>2169.0</v>
      </c>
      <c r="K12" s="3">
        <v>0.0</v>
      </c>
      <c r="L12" s="3">
        <v>0.0</v>
      </c>
      <c r="M12" s="3">
        <v>0.0</v>
      </c>
      <c r="N12" s="3">
        <v>19.8</v>
      </c>
      <c r="O12" s="3">
        <v>2169.0</v>
      </c>
      <c r="P12" s="3">
        <v>0.0</v>
      </c>
      <c r="Q12" s="3">
        <v>1.0</v>
      </c>
      <c r="R12" s="3"/>
      <c r="S12" s="3">
        <v>0.0</v>
      </c>
      <c r="T12" s="3">
        <v>0.0</v>
      </c>
    </row>
    <row r="13" spans="1:30" x14ac:dyDescent="0.2">
      <c r="A13" s="3">
        <v>11</v>
      </c>
      <c r="B13" s="3" t="inlineStr">
        <is>
          <t>Layer 11 (GG-II)</t>
        </is>
      </c>
      <c r="C13" s="3">
        <v>0.0</v>
      </c>
      <c r="D13" s="3">
        <v>0.67</v>
      </c>
      <c r="E13" s="3">
        <v>18.0</v>
      </c>
      <c r="F13" s="3">
        <v>0.67</v>
      </c>
      <c r="G13" s="3" t="inlineStr">
        <is>
          <t>Geosynthetic</t>
        </is>
      </c>
      <c r="H13" s="3" t="str">
        <f>IF($G13="","",IFERROR(VLOOKUP($G13,$AB$8:$AD$11,2,0),""))</f>
        <v/>
      </c>
      <c r="I13" s="3" t="str">
        <f t="shared" si="1"/>
        <v/>
      </c>
      <c r="J13" s="3">
        <v>2169.0</v>
      </c>
      <c r="K13" s="3">
        <v>0.0</v>
      </c>
      <c r="L13" s="3">
        <v>0.0</v>
      </c>
      <c r="M13" s="3">
        <v>0.0</v>
      </c>
      <c r="N13" s="3">
        <v>19.8</v>
      </c>
      <c r="O13" s="3">
        <v>2169.0</v>
      </c>
      <c r="P13" s="3">
        <v>0.0</v>
      </c>
      <c r="Q13" s="3">
        <v>1.0</v>
      </c>
      <c r="R13" s="3"/>
      <c r="S13" s="3">
        <v>0.0</v>
      </c>
      <c r="T13" s="3">
        <v>0.0</v>
      </c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96</v>
      </c>
    </row>
    <row r="25" spans="1:23" x14ac:dyDescent="0.2">
      <c r="K25" s="9"/>
      <c r="L25" s="9"/>
      <c r="V25" s="29"/>
      <c r="W25" s="9" t="s">
        <v>103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2026-09-07T22:01:36Z</dcterms:modified>
</cp:coreProperties>
</file>