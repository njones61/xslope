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<sst xmlns="http://schemas.openxmlformats.org/spreadsheetml/2006/main" count="601" uniqueCount="318">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</sst>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-15.0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-35.0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60.0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29.0</v>
      </c>
      <c r="D12" s="3">
        <v>60.0</v>
      </c>
      <c r="E12" s="3">
        <v>29.0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20.0</v>
      </c>
      <c r="D13" s="3">
        <v>18.0</v>
      </c>
      <c r="E13" s="3">
        <v>29.0</v>
      </c>
      <c r="G13" s="3">
        <v>60.0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60.0</v>
      </c>
      <c r="H14" s="3">
        <v>-15.0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-35.0</v>
      </c>
      <c r="H15" s="3">
        <v>-15.0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9.0</v>
      </c>
      <c r="C3" s="3">
        <v>34.0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9.0</v>
      </c>
      <c r="C4" s="3">
        <v>34.0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18.0</v>
      </c>
      <c r="C7" s="3">
        <v>29.0</v>
      </c>
      <c r="D7" s="3">
        <v>250.0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60.0</v>
      </c>
      <c r="C8" s="3">
        <v>29.0</v>
      </c>
      <c r="D8" s="3">
        <v>250.0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Layer 1 (GG-I)</t>
        </is>
      </c>
      <c r="C3" s="3">
        <v>0.0</v>
      </c>
      <c r="D3" s="3">
        <v>19.33</v>
      </c>
      <c r="E3" s="3">
        <v>18.0</v>
      </c>
      <c r="F3" s="3">
        <v>19.33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1085.0</v>
      </c>
      <c r="K3" s="3">
        <v>0.0</v>
      </c>
      <c r="L3" s="3">
        <v>0.0</v>
      </c>
      <c r="M3" s="3">
        <v>0.0</v>
      </c>
      <c r="N3" s="3">
        <v>19.8</v>
      </c>
      <c r="O3" s="3">
        <v>1085.0</v>
      </c>
      <c r="P3" s="3">
        <v>0.0</v>
      </c>
      <c r="Q3" s="3">
        <v>1.0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Layer 2 (GG-I)</t>
        </is>
      </c>
      <c r="C4" s="3">
        <v>0.0</v>
      </c>
      <c r="D4" s="3">
        <v>17.33</v>
      </c>
      <c r="E4" s="3">
        <v>18.0</v>
      </c>
      <c r="F4" s="3">
        <v>17.33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 t="shared" si="1"/>
        <v/>
      </c>
      <c r="J4" s="3">
        <v>1085.0</v>
      </c>
      <c r="K4" s="3">
        <v>0.0</v>
      </c>
      <c r="L4" s="3">
        <v>0.0</v>
      </c>
      <c r="M4" s="3">
        <v>0.0</v>
      </c>
      <c r="N4" s="3">
        <v>19.8</v>
      </c>
      <c r="O4" s="3">
        <v>1085.0</v>
      </c>
      <c r="P4" s="3">
        <v>0.0</v>
      </c>
      <c r="Q4" s="3">
        <v>1.0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Layer 3 (GG-I)</t>
        </is>
      </c>
      <c r="C5" s="3">
        <v>0.0</v>
      </c>
      <c r="D5" s="3">
        <v>15.33</v>
      </c>
      <c r="E5" s="3">
        <v>18.0</v>
      </c>
      <c r="F5" s="3">
        <v>15.33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 t="shared" si="1"/>
        <v/>
      </c>
      <c r="J5" s="3">
        <v>1085.0</v>
      </c>
      <c r="K5" s="3">
        <v>0.0</v>
      </c>
      <c r="L5" s="3">
        <v>0.0</v>
      </c>
      <c r="M5" s="3">
        <v>0.0</v>
      </c>
      <c r="N5" s="3">
        <v>19.8</v>
      </c>
      <c r="O5" s="3">
        <v>1085.0</v>
      </c>
      <c r="P5" s="3">
        <v>0.0</v>
      </c>
      <c r="Q5" s="3">
        <v>1.0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Layer 4 (GG-I)</t>
        </is>
      </c>
      <c r="C6" s="3">
        <v>0.0</v>
      </c>
      <c r="D6" s="3">
        <v>13.33</v>
      </c>
      <c r="E6" s="3">
        <v>18.0</v>
      </c>
      <c r="F6" s="3">
        <v>13.33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 t="shared" si="1"/>
        <v/>
      </c>
      <c r="J6" s="3">
        <v>1085.0</v>
      </c>
      <c r="K6" s="3">
        <v>0.0</v>
      </c>
      <c r="L6" s="3">
        <v>0.0</v>
      </c>
      <c r="M6" s="3">
        <v>0.0</v>
      </c>
      <c r="N6" s="3">
        <v>19.8</v>
      </c>
      <c r="O6" s="3">
        <v>1085.0</v>
      </c>
      <c r="P6" s="3">
        <v>0.0</v>
      </c>
      <c r="Q6" s="3">
        <v>1.0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Layer 5 (GG-II)</t>
        </is>
      </c>
      <c r="C7" s="3">
        <v>0.0</v>
      </c>
      <c r="D7" s="3">
        <v>11.33</v>
      </c>
      <c r="E7" s="3">
        <v>18.0</v>
      </c>
      <c r="F7" s="3">
        <v>11.33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 t="shared" si="1"/>
        <v/>
      </c>
      <c r="J7" s="3">
        <v>2169.0</v>
      </c>
      <c r="K7" s="3">
        <v>0.0</v>
      </c>
      <c r="L7" s="3">
        <v>0.0</v>
      </c>
      <c r="M7" s="3">
        <v>0.0</v>
      </c>
      <c r="N7" s="3">
        <v>19.8</v>
      </c>
      <c r="O7" s="3">
        <v>2169.0</v>
      </c>
      <c r="P7" s="3">
        <v>0.0</v>
      </c>
      <c r="Q7" s="3">
        <v>1.0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Layer 6 (GG-II)</t>
        </is>
      </c>
      <c r="C8" s="3">
        <v>0.0</v>
      </c>
      <c r="D8" s="3">
        <v>9.33</v>
      </c>
      <c r="E8" s="3">
        <v>18.0</v>
      </c>
      <c r="F8" s="3">
        <v>9.33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 t="shared" si="1"/>
        <v/>
      </c>
      <c r="J8" s="3">
        <v>2169.0</v>
      </c>
      <c r="K8" s="3">
        <v>0.0</v>
      </c>
      <c r="L8" s="3">
        <v>0.0</v>
      </c>
      <c r="M8" s="3">
        <v>0.0</v>
      </c>
      <c r="N8" s="3">
        <v>19.8</v>
      </c>
      <c r="O8" s="3">
        <v>2169.0</v>
      </c>
      <c r="P8" s="3">
        <v>0.0</v>
      </c>
      <c r="Q8" s="3">
        <v>1.0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Layer 7 (GG-II)</t>
        </is>
      </c>
      <c r="C9" s="3">
        <v>0.0</v>
      </c>
      <c r="D9" s="3">
        <v>7.33</v>
      </c>
      <c r="E9" s="3">
        <v>18.0</v>
      </c>
      <c r="F9" s="3">
        <v>7.33</v>
      </c>
      <c r="G9" s="3" t="inlineStr">
        <is>
          <t>Geosynthetic</t>
        </is>
      </c>
      <c r="H9" s="3" t="str">
        <f>IF($G9="","",IFERROR(VLOOKUP($G9,$AB$8:$AD$11,2,0),""))</f>
        <v/>
      </c>
      <c r="I9" s="3" t="str">
        <f t="shared" si="1"/>
        <v/>
      </c>
      <c r="J9" s="3">
        <v>2169.0</v>
      </c>
      <c r="K9" s="3">
        <v>0.0</v>
      </c>
      <c r="L9" s="3">
        <v>0.0</v>
      </c>
      <c r="M9" s="3">
        <v>0.0</v>
      </c>
      <c r="N9" s="3">
        <v>19.8</v>
      </c>
      <c r="O9" s="3">
        <v>2169.0</v>
      </c>
      <c r="P9" s="3">
        <v>0.0</v>
      </c>
      <c r="Q9" s="3">
        <v>1.0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Layer 8 (GG-II)</t>
        </is>
      </c>
      <c r="C10" s="3">
        <v>0.0</v>
      </c>
      <c r="D10" s="3">
        <v>5.33</v>
      </c>
      <c r="E10" s="3">
        <v>18.0</v>
      </c>
      <c r="F10" s="3">
        <v>5.33</v>
      </c>
      <c r="G10" s="3" t="inlineStr">
        <is>
          <t>Geosynthetic</t>
        </is>
      </c>
      <c r="H10" s="3" t="str">
        <f>IF($G10="","",IFERROR(VLOOKUP($G10,$AB$8:$AD$11,2,0),""))</f>
        <v/>
      </c>
      <c r="I10" s="3" t="str">
        <f t="shared" si="1"/>
        <v/>
      </c>
      <c r="J10" s="3">
        <v>2169.0</v>
      </c>
      <c r="K10" s="3">
        <v>0.0</v>
      </c>
      <c r="L10" s="3">
        <v>0.0</v>
      </c>
      <c r="M10" s="3">
        <v>0.0</v>
      </c>
      <c r="N10" s="3">
        <v>19.8</v>
      </c>
      <c r="O10" s="3">
        <v>2169.0</v>
      </c>
      <c r="P10" s="3">
        <v>0.0</v>
      </c>
      <c r="Q10" s="3">
        <v>1.0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Layer 9 (GG-II)</t>
        </is>
      </c>
      <c r="C11" s="3">
        <v>0.0</v>
      </c>
      <c r="D11" s="3">
        <v>3.33</v>
      </c>
      <c r="E11" s="3">
        <v>18.0</v>
      </c>
      <c r="F11" s="3">
        <v>3.33</v>
      </c>
      <c r="G11" s="3" t="inlineStr">
        <is>
          <t>Geosynthetic</t>
        </is>
      </c>
      <c r="H11" s="3" t="str">
        <f>IF($G11="","",IFERROR(VLOOKUP($G11,$AB$8:$AD$11,2,0),""))</f>
        <v/>
      </c>
      <c r="I11" s="3" t="str">
        <f t="shared" si="1"/>
        <v/>
      </c>
      <c r="J11" s="3">
        <v>2169.0</v>
      </c>
      <c r="K11" s="3">
        <v>0.0</v>
      </c>
      <c r="L11" s="3">
        <v>0.0</v>
      </c>
      <c r="M11" s="3">
        <v>0.0</v>
      </c>
      <c r="N11" s="3">
        <v>19.8</v>
      </c>
      <c r="O11" s="3">
        <v>2169.0</v>
      </c>
      <c r="P11" s="3">
        <v>0.0</v>
      </c>
      <c r="Q11" s="3">
        <v>1.0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Layer 10 (GG-II)</t>
        </is>
      </c>
      <c r="C12" s="3">
        <v>0.0</v>
      </c>
      <c r="D12" s="3">
        <v>1.33</v>
      </c>
      <c r="E12" s="3">
        <v>18.0</v>
      </c>
      <c r="F12" s="3">
        <v>1.33</v>
      </c>
      <c r="G12" s="3" t="inlineStr">
        <is>
          <t>Geosynthetic</t>
        </is>
      </c>
      <c r="H12" s="3" t="str">
        <f>IF($G12="","",IFERROR(VLOOKUP($G12,$AB$8:$AD$11,2,0),""))</f>
        <v/>
      </c>
      <c r="I12" s="3" t="str">
        <f t="shared" si="1"/>
        <v/>
      </c>
      <c r="J12" s="3">
        <v>2169.0</v>
      </c>
      <c r="K12" s="3">
        <v>0.0</v>
      </c>
      <c r="L12" s="3">
        <v>0.0</v>
      </c>
      <c r="M12" s="3">
        <v>0.0</v>
      </c>
      <c r="N12" s="3">
        <v>19.8</v>
      </c>
      <c r="O12" s="3">
        <v>2169.0</v>
      </c>
      <c r="P12" s="3">
        <v>0.0</v>
      </c>
      <c r="Q12" s="3">
        <v>1.0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 t="inlineStr">
        <is>
          <t>Layer 11 (GG-II)</t>
        </is>
      </c>
      <c r="C13" s="3">
        <v>0.0</v>
      </c>
      <c r="D13" s="3">
        <v>0.67</v>
      </c>
      <c r="E13" s="3">
        <v>18.0</v>
      </c>
      <c r="F13" s="3">
        <v>0.67</v>
      </c>
      <c r="G13" s="3" t="inlineStr">
        <is>
          <t>Geosynthetic</t>
        </is>
      </c>
      <c r="H13" s="3" t="str">
        <f>IF($G13="","",IFERROR(VLOOKUP($G13,$AB$8:$AD$11,2,0),""))</f>
        <v/>
      </c>
      <c r="I13" s="3" t="str">
        <f t="shared" si="1"/>
        <v/>
      </c>
      <c r="J13" s="3">
        <v>2169.0</v>
      </c>
      <c r="K13" s="3">
        <v>0.0</v>
      </c>
      <c r="L13" s="3">
        <v>0.0</v>
      </c>
      <c r="M13" s="3">
        <v>0.0</v>
      </c>
      <c r="N13" s="3">
        <v>19.8</v>
      </c>
      <c r="O13" s="3">
        <v>2169.0</v>
      </c>
      <c r="P13" s="3">
        <v>0.0</v>
      </c>
      <c r="Q13" s="3">
        <v>1.0</v>
      </c>
      <c r="R13" s="3"/>
      <c r="S13" s="3">
        <v>0.0</v>
      </c>
      <c r="T13" s="3">
        <v>0.0</v>
      </c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