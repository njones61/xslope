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E12967D2-A998-D342-B5ED-43CABE326A3A}" xr6:coauthVersionLast="47" xr6:coauthVersionMax="47" xr10:uidLastSave="{00000000-0000-0000-0000-000000000000}"/>
  <bookViews>
    <workbookView xWindow="15680" yWindow="4780" windowWidth="4694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<sst xmlns="http://schemas.openxmlformats.org/spreadsheetml/2006/main" count="602" uniqueCount="319">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</sst>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217714</xdr:colOff>
      <xdr:row>1</xdr:row>
      <xdr:rowOff>54430</xdr:rowOff>
    </xdr:from>
    <xdr:to>
      <xdr:col>25</xdr:col>
      <xdr:colOff>444500</xdr:colOff>
      <xdr:row>21</xdr:row>
      <xdr:rowOff>90714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6455571" y="254001"/>
          <a:ext cx="3855358" cy="4027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soii-reinforcement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26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312</v>
      </c>
      <c r="F20" s="1" t="s">
        <v>46</v>
      </c>
      <c r="G20" s="9" t="s">
        <v>47</v>
      </c>
      <c r="D20"/>
    </row>
    <row r="21" spans="2:7" x14ac:dyDescent="0.2">
      <c r="C21" s="14" t="s">
        <v>45</v>
      </c>
      <c r="F21" s="1" t="s">
        <v>49</v>
      </c>
      <c r="G21" t="s">
        <v>50</v>
      </c>
      <c r="D21"/>
    </row>
    <row r="22" spans="2:7" x14ac:dyDescent="0.2">
      <c r="C22" s="14" t="s">
        <v>48</v>
      </c>
      <c r="F22" s="1"/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manual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Reinforced fill</t>
        </is>
      </c>
      <c r="C11" s="3">
        <v>125.0</v>
      </c>
      <c r="D11" s="3"/>
      <c r="E11" s="3" t="inlineStr">
        <is>
          <t>mc</t>
        </is>
      </c>
      <c r="F11" s="3">
        <v>0.0</v>
      </c>
      <c r="G11" s="3">
        <v>34.0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/>
      <c r="N11" s="3"/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/>
      <c r="AP11" s="3"/>
      <c r="AQ11" s="3"/>
    </row>
    <row r="12" spans="1:43" x14ac:dyDescent="0.2">
      <c r="A12" s="3">
        <v>2</v>
      </c>
      <c r="B12" s="3" t="inlineStr">
        <is>
          <t>Retained backfill</t>
        </is>
      </c>
      <c r="C12" s="3">
        <v>125.0</v>
      </c>
      <c r="D12" s="3"/>
      <c r="E12" s="3" t="inlineStr">
        <is>
          <t>mc</t>
        </is>
      </c>
      <c r="F12" s="3">
        <v>0.0</v>
      </c>
      <c r="G12" s="3">
        <v>30.0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/>
      <c r="N12" s="3"/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/>
      <c r="AP12" s="19"/>
      <c r="AQ12" s="19"/>
    </row>
    <row r="13" spans="1:43" x14ac:dyDescent="0.2">
      <c r="A13" s="3">
        <v>3</v>
      </c>
      <c r="B13" s="3" t="inlineStr">
        <is>
          <t>Foundation</t>
        </is>
      </c>
      <c r="C13" s="3">
        <v>125.0</v>
      </c>
      <c r="D13" s="3"/>
      <c r="E13" s="3" t="inlineStr">
        <is>
          <t>mc</t>
        </is>
      </c>
      <c r="F13" s="3">
        <v>0.0</v>
      </c>
      <c r="G13" s="3">
        <v>30.0</v>
      </c>
      <c r="H13" s="3">
        <v>0.0</v>
      </c>
      <c r="I13" s="3">
        <v>0.0</v>
      </c>
      <c r="J13" s="3">
        <v>0.0</v>
      </c>
      <c r="K13" s="3">
        <v>0.0</v>
      </c>
      <c r="L13" s="3"/>
      <c r="M13" s="3"/>
      <c r="N13" s="3"/>
      <c r="O13" s="3" t="inlineStr">
        <is>
          <t>none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 t="inlineStr">
        <is>
          <t>lf</t>
        </is>
      </c>
      <c r="AK13" s="3">
        <v>0.0</v>
      </c>
      <c r="AL13" s="3">
        <v>0.0</v>
      </c>
      <c r="AM13" s="18">
        <v>0.0</v>
      </c>
      <c r="AN13" s="19">
        <v>0.0</v>
      </c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O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-22.0</v>
      </c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inlineStr">
        <is>
          <t>Polygon #2</t>
        </is>
      </c>
      <c r="E4" s="52"/>
      <c r="G4" s="55" t="inlineStr">
        <is>
          <t>Polygon #3</t>
        </is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inlineStr">
        <is>
          <t>material</t>
        </is>
      </c>
      <c r="G5" s="38" t="s">
        <v>184</v>
      </c>
      <c r="H5" s="39" t="inlineStr">
        <is>
          <t>material</t>
        </is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0.0</v>
      </c>
      <c r="B10" s="3">
        <v>0.0</v>
      </c>
      <c r="D10" s="3">
        <v>18.0</v>
      </c>
      <c r="E10" s="3">
        <v>0.0</v>
      </c>
      <c r="G10" s="3">
        <v>-55.0</v>
      </c>
      <c r="H10" s="3">
        <v>2.0</v>
      </c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18.0</v>
      </c>
      <c r="B11" s="3">
        <v>0.0</v>
      </c>
      <c r="D11" s="3">
        <v>75.0</v>
      </c>
      <c r="E11" s="3">
        <v>0.0</v>
      </c>
      <c r="G11" s="3">
        <v>0.0</v>
      </c>
      <c r="H11" s="3">
        <v>2.0</v>
      </c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18.0</v>
      </c>
      <c r="B12" s="3">
        <v>25.64</v>
      </c>
      <c r="D12" s="3">
        <v>75.0</v>
      </c>
      <c r="E12" s="3">
        <v>25.64</v>
      </c>
      <c r="G12" s="3">
        <v>0.0</v>
      </c>
      <c r="H12" s="3">
        <v>0.0</v>
      </c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0.0</v>
      </c>
      <c r="B13" s="3">
        <v>25.64</v>
      </c>
      <c r="D13" s="3">
        <v>18.0</v>
      </c>
      <c r="E13" s="3">
        <v>25.64</v>
      </c>
      <c r="G13" s="3">
        <v>75.0</v>
      </c>
      <c r="H13" s="3">
        <v>0.0</v>
      </c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>
        <v>75.0</v>
      </c>
      <c r="H14" s="3">
        <v>-22.0</v>
      </c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>
        <v>-55.0</v>
      </c>
      <c r="H15" s="3">
        <v>-22.0</v>
      </c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>
        <v>9.0</v>
      </c>
      <c r="C3" s="3">
        <v>32.05</v>
      </c>
      <c r="D3" s="3" t="inlineStr">
        <is>
          <t>Depth</t>
        </is>
      </c>
      <c r="E3" s="3">
        <v>2.0</v>
      </c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>
        <v>9.0</v>
      </c>
      <c r="C4" s="3">
        <v>32.05</v>
      </c>
      <c r="D4" s="3" t="inlineStr">
        <is>
          <t>Depth</t>
        </is>
      </c>
      <c r="E4" s="3">
        <v>0.0</v>
      </c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>
        <v>0.0</v>
      </c>
      <c r="C7" s="3">
        <v>25.64</v>
      </c>
      <c r="D7" s="3">
        <v>250.0</v>
      </c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>
        <v>75.0</v>
      </c>
      <c r="C8" s="3">
        <v>25.64</v>
      </c>
      <c r="D8" s="3">
        <v>250.0</v>
      </c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D25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0" width="10.83203125" style="1" customWidth="1"/>
    <col min="21" max="21" width="4.33203125" customWidth="1"/>
  </cols>
  <sheetData>
    <row r="2" spans="1:30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AB2" t="s">
        <v>257</v>
      </c>
      <c r="AC2" t="s">
        <v>258</v>
      </c>
      <c r="AD2" t="s">
        <v>259</v>
      </c>
    </row>
    <row r="3" spans="1:30" x14ac:dyDescent="0.2">
      <c r="A3" s="3">
        <v>1</v>
      </c>
      <c r="B3" s="3" t="inlineStr">
        <is>
          <t>Level 1 (4W)</t>
        </is>
      </c>
      <c r="C3" s="3">
        <v>0.0</v>
      </c>
      <c r="D3" s="3">
        <v>23.77</v>
      </c>
      <c r="E3" s="3">
        <v>18.0</v>
      </c>
      <c r="F3" s="3">
        <v>23.77</v>
      </c>
      <c r="G3" s="3"/>
      <c r="H3" s="3" t="inlineStr">
        <is>
          <t>Axial</t>
        </is>
      </c>
      <c r="I3" s="3" t="str">
        <f t="shared" ref="I3:I22" si="1">IF($G3="","",IFERROR(VLOOKUP($G3,$AB$8:$AD$11,3,0),""))</f>
        <v/>
      </c>
      <c r="J3" s="3">
        <v>20680.0</v>
      </c>
      <c r="K3" s="3">
        <v>0.0</v>
      </c>
      <c r="L3" s="3">
        <v>0.0</v>
      </c>
      <c r="M3" s="3">
        <v>0.0</v>
      </c>
      <c r="N3" s="3">
        <v>60.7002875874</v>
      </c>
      <c r="O3" s="3">
        <v>20680.0</v>
      </c>
      <c r="P3" s="3">
        <v>0.0</v>
      </c>
      <c r="Q3" s="3">
        <v>5.0</v>
      </c>
      <c r="R3" s="3"/>
      <c r="S3" s="3">
        <v>0.0</v>
      </c>
      <c r="T3" s="3">
        <v>0.0</v>
      </c>
      <c r="AB3" t="s">
        <v>260</v>
      </c>
      <c r="AC3" t="s">
        <v>261</v>
      </c>
      <c r="AD3" t="s">
        <v>262</v>
      </c>
    </row>
    <row r="4" spans="1:30" x14ac:dyDescent="0.2">
      <c r="A4" s="3">
        <v>2</v>
      </c>
      <c r="B4" s="3" t="inlineStr">
        <is>
          <t>Level 2 (3W)</t>
        </is>
      </c>
      <c r="C4" s="3">
        <v>0.0</v>
      </c>
      <c r="D4" s="3">
        <v>21.27</v>
      </c>
      <c r="E4" s="3">
        <v>18.0</v>
      </c>
      <c r="F4" s="3">
        <v>21.27</v>
      </c>
      <c r="G4" s="3"/>
      <c r="H4" s="3" t="inlineStr">
        <is>
          <t>Axial</t>
        </is>
      </c>
      <c r="I4" s="3" t="str">
        <f t="shared" si="1"/>
        <v/>
      </c>
      <c r="J4" s="3">
        <v>15510.0</v>
      </c>
      <c r="K4" s="3">
        <v>0.0</v>
      </c>
      <c r="L4" s="3">
        <v>0.0</v>
      </c>
      <c r="M4" s="3">
        <v>0.0</v>
      </c>
      <c r="N4" s="3">
        <v>47.9842821436</v>
      </c>
      <c r="O4" s="3">
        <v>15510.0</v>
      </c>
      <c r="P4" s="3">
        <v>0.0</v>
      </c>
      <c r="Q4" s="3">
        <v>5.0</v>
      </c>
      <c r="R4" s="3"/>
      <c r="S4" s="3">
        <v>0.0</v>
      </c>
      <c r="T4" s="3">
        <v>0.0</v>
      </c>
      <c r="AB4" t="s">
        <v>263</v>
      </c>
    </row>
    <row r="5" spans="1:30" x14ac:dyDescent="0.2">
      <c r="A5" s="3">
        <v>3</v>
      </c>
      <c r="B5" s="3" t="inlineStr">
        <is>
          <t>Level 3 (4W)</t>
        </is>
      </c>
      <c r="C5" s="3">
        <v>0.0</v>
      </c>
      <c r="D5" s="3">
        <v>18.77</v>
      </c>
      <c r="E5" s="3">
        <v>18.0</v>
      </c>
      <c r="F5" s="3">
        <v>18.77</v>
      </c>
      <c r="G5" s="3"/>
      <c r="H5" s="3" t="inlineStr">
        <is>
          <t>Axial</t>
        </is>
      </c>
      <c r="I5" s="3" t="str">
        <f t="shared" si="1"/>
        <v/>
      </c>
      <c r="J5" s="3">
        <v>20680.0</v>
      </c>
      <c r="K5" s="3">
        <v>0.0</v>
      </c>
      <c r="L5" s="3">
        <v>0.0</v>
      </c>
      <c r="M5" s="3">
        <v>0.0</v>
      </c>
      <c r="N5" s="3">
        <v>57.1630366314</v>
      </c>
      <c r="O5" s="3">
        <v>20680.0</v>
      </c>
      <c r="P5" s="3">
        <v>0.0</v>
      </c>
      <c r="Q5" s="3">
        <v>5.0</v>
      </c>
      <c r="R5" s="3"/>
      <c r="S5" s="3">
        <v>0.0</v>
      </c>
      <c r="T5" s="3">
        <v>0.0</v>
      </c>
      <c r="AB5" t="s">
        <v>264</v>
      </c>
    </row>
    <row r="6" spans="1:30" x14ac:dyDescent="0.2">
      <c r="A6" s="3">
        <v>4</v>
      </c>
      <c r="B6" s="3" t="inlineStr">
        <is>
          <t>Level 4 (4W)</t>
        </is>
      </c>
      <c r="C6" s="3">
        <v>0.0</v>
      </c>
      <c r="D6" s="3">
        <v>16.27</v>
      </c>
      <c r="E6" s="3">
        <v>18.0</v>
      </c>
      <c r="F6" s="3">
        <v>16.27</v>
      </c>
      <c r="G6" s="3"/>
      <c r="H6" s="3" t="inlineStr">
        <is>
          <t>Axial</t>
        </is>
      </c>
      <c r="I6" s="3" t="str">
        <f t="shared" si="1"/>
        <v/>
      </c>
      <c r="J6" s="3">
        <v>20680.0</v>
      </c>
      <c r="K6" s="3">
        <v>0.0</v>
      </c>
      <c r="L6" s="3">
        <v>0.0</v>
      </c>
      <c r="M6" s="3">
        <v>0.0</v>
      </c>
      <c r="N6" s="3">
        <v>55.0818664633</v>
      </c>
      <c r="O6" s="3">
        <v>20680.0</v>
      </c>
      <c r="P6" s="3">
        <v>0.0</v>
      </c>
      <c r="Q6" s="3">
        <v>5.0</v>
      </c>
      <c r="R6" s="3"/>
      <c r="S6" s="3">
        <v>0.0</v>
      </c>
      <c r="T6" s="3">
        <v>0.0</v>
      </c>
    </row>
    <row r="7" spans="1:30" x14ac:dyDescent="0.2">
      <c r="A7" s="3">
        <v>5</v>
      </c>
      <c r="B7" s="3" t="inlineStr">
        <is>
          <t>Level 5 (4W)</t>
        </is>
      </c>
      <c r="C7" s="3">
        <v>0.0</v>
      </c>
      <c r="D7" s="3">
        <v>13.77</v>
      </c>
      <c r="E7" s="3">
        <v>18.0</v>
      </c>
      <c r="F7" s="3">
        <v>13.77</v>
      </c>
      <c r="G7" s="3"/>
      <c r="H7" s="3" t="inlineStr">
        <is>
          <t>Axial</t>
        </is>
      </c>
      <c r="I7" s="3" t="str">
        <f t="shared" si="1"/>
        <v/>
      </c>
      <c r="J7" s="3">
        <v>29680.0</v>
      </c>
      <c r="K7" s="3">
        <v>0.0</v>
      </c>
      <c r="L7" s="3">
        <v>0.0</v>
      </c>
      <c r="M7" s="3">
        <v>0.0</v>
      </c>
      <c r="N7" s="3">
        <v>33.3049139381</v>
      </c>
      <c r="O7" s="3">
        <v>29680.0</v>
      </c>
      <c r="P7" s="3">
        <v>0.0</v>
      </c>
      <c r="Q7" s="3">
        <v>5.0</v>
      </c>
      <c r="R7" s="3"/>
      <c r="S7" s="3">
        <v>0.0</v>
      </c>
      <c r="T7" s="3">
        <v>0.0</v>
      </c>
    </row>
    <row r="8" spans="1:30" x14ac:dyDescent="0.2">
      <c r="A8" s="3">
        <v>6</v>
      </c>
      <c r="B8" s="3" t="inlineStr">
        <is>
          <t>Level 6 (4W)</t>
        </is>
      </c>
      <c r="C8" s="3">
        <v>0.0</v>
      </c>
      <c r="D8" s="3">
        <v>11.27</v>
      </c>
      <c r="E8" s="3">
        <v>18.0</v>
      </c>
      <c r="F8" s="3">
        <v>11.27</v>
      </c>
      <c r="G8" s="3"/>
      <c r="H8" s="3" t="inlineStr">
        <is>
          <t>Axial</t>
        </is>
      </c>
      <c r="I8" s="3" t="str">
        <f t="shared" si="1"/>
        <v/>
      </c>
      <c r="J8" s="3">
        <v>29680.0</v>
      </c>
      <c r="K8" s="3">
        <v>0.0</v>
      </c>
      <c r="L8" s="3">
        <v>0.0</v>
      </c>
      <c r="M8" s="3">
        <v>0.0</v>
      </c>
      <c r="N8" s="3">
        <v>30.9005208361</v>
      </c>
      <c r="O8" s="3">
        <v>29680.0</v>
      </c>
      <c r="P8" s="3">
        <v>0.0</v>
      </c>
      <c r="Q8" s="3">
        <v>5.0</v>
      </c>
      <c r="R8" s="3"/>
      <c r="S8" s="3">
        <v>0.0</v>
      </c>
      <c r="T8" s="3">
        <v>0.0</v>
      </c>
      <c r="AB8" t="s">
        <v>257</v>
      </c>
      <c r="AC8" t="s">
        <v>258</v>
      </c>
      <c r="AD8" t="s">
        <v>259</v>
      </c>
    </row>
    <row r="9" spans="1:30" x14ac:dyDescent="0.2">
      <c r="A9" s="3">
        <v>7</v>
      </c>
      <c r="B9" s="3" t="inlineStr">
        <is>
          <t>Level 7 (4W)</t>
        </is>
      </c>
      <c r="C9" s="3">
        <v>0.0</v>
      </c>
      <c r="D9" s="3">
        <v>8.77</v>
      </c>
      <c r="E9" s="3">
        <v>18.0</v>
      </c>
      <c r="F9" s="3">
        <v>8.77</v>
      </c>
      <c r="G9" s="3"/>
      <c r="H9" s="3" t="inlineStr">
        <is>
          <t>Axial</t>
        </is>
      </c>
      <c r="I9" s="3" t="str">
        <f t="shared" si="1"/>
        <v/>
      </c>
      <c r="J9" s="3">
        <v>29680.0</v>
      </c>
      <c r="K9" s="3">
        <v>0.0</v>
      </c>
      <c r="L9" s="3">
        <v>0.0</v>
      </c>
      <c r="M9" s="3">
        <v>0.0</v>
      </c>
      <c r="N9" s="3">
        <v>28.3690462933</v>
      </c>
      <c r="O9" s="3">
        <v>29680.0</v>
      </c>
      <c r="P9" s="3">
        <v>0.0</v>
      </c>
      <c r="Q9" s="3">
        <v>5.0</v>
      </c>
      <c r="R9" s="3"/>
      <c r="S9" s="3">
        <v>0.0</v>
      </c>
      <c r="T9" s="3">
        <v>0.0</v>
      </c>
      <c r="AB9" t="s">
        <v>260</v>
      </c>
      <c r="AC9" t="s">
        <v>261</v>
      </c>
      <c r="AD9" t="s">
        <v>262</v>
      </c>
    </row>
    <row r="10" spans="1:30" x14ac:dyDescent="0.2">
      <c r="A10" s="3">
        <v>8</v>
      </c>
      <c r="B10" s="3" t="inlineStr">
        <is>
          <t>Level 8 (4W)</t>
        </is>
      </c>
      <c r="C10" s="3">
        <v>0.0</v>
      </c>
      <c r="D10" s="3">
        <v>6.27</v>
      </c>
      <c r="E10" s="3">
        <v>18.0</v>
      </c>
      <c r="F10" s="3">
        <v>6.27</v>
      </c>
      <c r="G10" s="3"/>
      <c r="H10" s="3" t="inlineStr">
        <is>
          <t>Axial</t>
        </is>
      </c>
      <c r="I10" s="3" t="str">
        <f t="shared" si="1"/>
        <v/>
      </c>
      <c r="J10" s="3">
        <v>29680.0</v>
      </c>
      <c r="K10" s="3">
        <v>0.0</v>
      </c>
      <c r="L10" s="3">
        <v>0.0</v>
      </c>
      <c r="M10" s="3">
        <v>0.0</v>
      </c>
      <c r="N10" s="3">
        <v>17.7966302037</v>
      </c>
      <c r="O10" s="3">
        <v>29680.0</v>
      </c>
      <c r="P10" s="3">
        <v>0.0</v>
      </c>
      <c r="Q10" s="3">
        <v>5.0</v>
      </c>
      <c r="R10" s="3"/>
      <c r="S10" s="3">
        <v>0.0</v>
      </c>
      <c r="T10" s="3">
        <v>0.0</v>
      </c>
      <c r="AB10" t="s">
        <v>263</v>
      </c>
      <c r="AC10" t="s">
        <v>261</v>
      </c>
      <c r="AD10" t="s">
        <v>259</v>
      </c>
    </row>
    <row r="11" spans="1:30" x14ac:dyDescent="0.2">
      <c r="A11" s="3">
        <v>9</v>
      </c>
      <c r="B11" s="3" t="inlineStr">
        <is>
          <t>Level 9 (4W)</t>
        </is>
      </c>
      <c r="C11" s="3">
        <v>0.0</v>
      </c>
      <c r="D11" s="3">
        <v>3.77</v>
      </c>
      <c r="E11" s="3">
        <v>18.0</v>
      </c>
      <c r="F11" s="3">
        <v>3.77</v>
      </c>
      <c r="G11" s="3"/>
      <c r="H11" s="3" t="inlineStr">
        <is>
          <t>Axial</t>
        </is>
      </c>
      <c r="I11" s="3" t="str">
        <f t="shared" si="1"/>
        <v/>
      </c>
      <c r="J11" s="3">
        <v>29680.0</v>
      </c>
      <c r="K11" s="3">
        <v>0.0</v>
      </c>
      <c r="L11" s="3">
        <v>0.0</v>
      </c>
      <c r="M11" s="3">
        <v>0.0</v>
      </c>
      <c r="N11" s="3">
        <v>17.3279217772</v>
      </c>
      <c r="O11" s="3">
        <v>29680.0</v>
      </c>
      <c r="P11" s="3">
        <v>0.0</v>
      </c>
      <c r="Q11" s="3">
        <v>5.0</v>
      </c>
      <c r="R11" s="3"/>
      <c r="S11" s="3">
        <v>0.0</v>
      </c>
      <c r="T11" s="3">
        <v>0.0</v>
      </c>
      <c r="AB11" t="s">
        <v>264</v>
      </c>
      <c r="AC11" t="s">
        <v>261</v>
      </c>
      <c r="AD11" t="s">
        <v>259</v>
      </c>
    </row>
    <row r="12" spans="1:30" x14ac:dyDescent="0.2">
      <c r="A12" s="3">
        <v>10</v>
      </c>
      <c r="B12" s="3" t="inlineStr">
        <is>
          <t>Level 10 (4W)</t>
        </is>
      </c>
      <c r="C12" s="3">
        <v>0.0</v>
      </c>
      <c r="D12" s="3">
        <v>1.27</v>
      </c>
      <c r="E12" s="3">
        <v>18.0</v>
      </c>
      <c r="F12" s="3">
        <v>1.27</v>
      </c>
      <c r="G12" s="3"/>
      <c r="H12" s="3" t="inlineStr">
        <is>
          <t>Axial</t>
        </is>
      </c>
      <c r="I12" s="3" t="str">
        <f t="shared" si="1"/>
        <v/>
      </c>
      <c r="J12" s="3">
        <v>29680.0</v>
      </c>
      <c r="K12" s="3">
        <v>0.0</v>
      </c>
      <c r="L12" s="3">
        <v>0.0</v>
      </c>
      <c r="M12" s="3">
        <v>0.0</v>
      </c>
      <c r="N12" s="3">
        <v>17.3279217772</v>
      </c>
      <c r="O12" s="3">
        <v>29680.0</v>
      </c>
      <c r="P12" s="3">
        <v>0.0</v>
      </c>
      <c r="Q12" s="3">
        <v>5.0</v>
      </c>
      <c r="R12" s="3"/>
      <c r="S12" s="3">
        <v>0.0</v>
      </c>
      <c r="T12" s="3">
        <v>0.0</v>
      </c>
    </row>
    <row r="13" spans="1:30" x14ac:dyDescent="0.2">
      <c r="A13" s="3">
        <v>11</v>
      </c>
      <c r="B13" s="3"/>
      <c r="C13" s="3"/>
      <c r="D13" s="3"/>
      <c r="E13" s="3"/>
      <c r="F13" s="3"/>
      <c r="G13" s="3"/>
      <c r="H13" s="3" t="str">
        <f>IF($G13="","",IFERROR(VLOOKUP($G13,$AB$8:$AD$11,2,0),""))</f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30" x14ac:dyDescent="0.2">
      <c r="A14" s="3">
        <v>12</v>
      </c>
      <c r="B14" s="3"/>
      <c r="C14" s="3"/>
      <c r="D14" s="3"/>
      <c r="E14" s="3"/>
      <c r="F14" s="3"/>
      <c r="G14" s="3"/>
      <c r="H14" s="3" t="str">
        <f>IF($G14="","",IFERROR(VLOOKUP($G14,$AB$8:$AD$11,2,0),""))</f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30" x14ac:dyDescent="0.2">
      <c r="A15" s="3">
        <v>13</v>
      </c>
      <c r="B15" s="3"/>
      <c r="C15" s="3"/>
      <c r="D15" s="3"/>
      <c r="E15" s="3"/>
      <c r="F15" s="3"/>
      <c r="G15" s="3"/>
      <c r="H15" s="3" t="str">
        <f>IF($G15="","",IFERROR(VLOOKUP($G15,$AB$8:$AD$11,2,0),""))</f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30" x14ac:dyDescent="0.2">
      <c r="A16" s="3">
        <v>14</v>
      </c>
      <c r="B16" s="3"/>
      <c r="C16" s="3"/>
      <c r="D16" s="3"/>
      <c r="E16" s="3"/>
      <c r="F16" s="3"/>
      <c r="G16" s="3"/>
      <c r="H16" s="3" t="str">
        <f>IF($G16="","",IFERROR(VLOOKUP($G16,$AB$8:$AD$11,2,0),""))</f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3" x14ac:dyDescent="0.2">
      <c r="A17" s="3">
        <v>15</v>
      </c>
      <c r="B17" s="3"/>
      <c r="C17" s="3"/>
      <c r="D17" s="3"/>
      <c r="E17" s="3"/>
      <c r="F17" s="3"/>
      <c r="G17" s="3"/>
      <c r="H17" s="3" t="str">
        <f>IF($G17="","",IFERROR(VLOOKUP($G17,$AB$8:$AD$11,2,0),""))</f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3" x14ac:dyDescent="0.2">
      <c r="A18" s="3">
        <v>16</v>
      </c>
      <c r="B18" s="3"/>
      <c r="C18" s="3"/>
      <c r="D18" s="3"/>
      <c r="E18" s="3"/>
      <c r="F18" s="3"/>
      <c r="G18" s="3"/>
      <c r="H18" s="3" t="str">
        <f>IF($G18="","",IFERROR(VLOOKUP($G18,$AB$8:$AD$11,2,0),""))</f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3" x14ac:dyDescent="0.2">
      <c r="A19" s="3">
        <v>17</v>
      </c>
      <c r="B19" s="3"/>
      <c r="C19" s="3"/>
      <c r="D19" s="3"/>
      <c r="E19" s="3"/>
      <c r="F19" s="3"/>
      <c r="G19" s="3"/>
      <c r="H19" s="3" t="str">
        <f>IF($G19="","",IFERROR(VLOOKUP($G19,$AB$8:$AD$11,2,0),""))</f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3" x14ac:dyDescent="0.2">
      <c r="A20" s="3">
        <v>18</v>
      </c>
      <c r="B20" s="3"/>
      <c r="C20" s="3"/>
      <c r="D20" s="3"/>
      <c r="E20" s="3"/>
      <c r="F20" s="3"/>
      <c r="G20" s="3"/>
      <c r="H20" s="3" t="str">
        <f>IF($G20="","",IFERROR(VLOOKUP($G20,$AB$8:$AD$11,2,0),""))</f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3" x14ac:dyDescent="0.2">
      <c r="A21" s="3">
        <v>19</v>
      </c>
      <c r="B21" s="3"/>
      <c r="C21" s="3"/>
      <c r="D21" s="3"/>
      <c r="E21" s="3"/>
      <c r="F21" s="3"/>
      <c r="G21" s="3"/>
      <c r="H21" s="3" t="str">
        <f>IF($G21="","",IFERROR(VLOOKUP($G21,$AB$8:$AD$11,2,0),""))</f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3" x14ac:dyDescent="0.2">
      <c r="A22" s="3">
        <v>20</v>
      </c>
      <c r="B22" s="3"/>
      <c r="C22" s="3"/>
      <c r="D22" s="3"/>
      <c r="E22" s="3"/>
      <c r="F22" s="3"/>
      <c r="G22" s="3"/>
      <c r="H22" s="3" t="str">
        <f>IF($G22="","",IFERROR(VLOOKUP($G22,$AB$8:$AD$11,2,0),""))</f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3" x14ac:dyDescent="0.2">
      <c r="V23" s="42"/>
      <c r="W23" t="s">
        <v>91</v>
      </c>
    </row>
    <row r="24" spans="1:23" x14ac:dyDescent="0.2">
      <c r="K24" s="9"/>
      <c r="L24" s="9"/>
      <c r="V24" s="26"/>
      <c r="W24" s="9" t="s">
        <v>96</v>
      </c>
    </row>
    <row r="25" spans="1:23" x14ac:dyDescent="0.2">
      <c r="K25" s="9"/>
      <c r="L25" s="9"/>
      <c r="V25" s="29"/>
      <c r="W25" s="9" t="s">
        <v>103</v>
      </c>
    </row>
  </sheetData>
  <dataValidations count="3">
    <dataValidation type="list" allowBlank="1" showInputMessage="1" showErrorMessage="1" sqref="G3:G22" xr:uid="{00000000-0002-0000-0900-000000000000}">
      <formula1>$AB$2:$AB$5</formula1>
    </dataValidation>
    <dataValidation type="list" allowBlank="1" showInputMessage="1" showErrorMessage="1" sqref="H3:H22" xr:uid="{00000000-0002-0000-0900-000001000000}">
      <formula1>$AC$2:$AC$3</formula1>
    </dataValidation>
    <dataValidation type="list" allowBlank="1" showInputMessage="1" showErrorMessage="1" sqref="I3:I22" xr:uid="{00000000-0002-0000-0900-000002000000}">
      <formula1>$AD$2:$AD$3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2026-09-07T22:01:36Z</dcterms:modified>
</cp:coreProperties>
</file>