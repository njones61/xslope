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<sst xmlns="http://schemas.openxmlformats.org/spreadsheetml/2006/main" count="601" uniqueCount="318">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</sst>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Footing backfill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Foundation</t>
        </is>
      </c>
      <c r="C14" s="3">
        <v>120.0</v>
      </c>
      <c r="D14" s="3"/>
      <c r="E14" s="3" t="inlineStr">
        <is>
          <t>mc</t>
        </is>
      </c>
      <c r="F14" s="3">
        <v>0.0</v>
      </c>
      <c r="G14" s="3">
        <v>30.0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/>
      <c r="N14" s="3"/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-25.0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26.0</v>
      </c>
      <c r="E10" s="3">
        <v>0.0</v>
      </c>
      <c r="G10" s="3">
        <v>0.0</v>
      </c>
      <c r="H10" s="3">
        <v>25.5</v>
      </c>
      <c r="J10" s="3">
        <v>-60.0</v>
      </c>
      <c r="K10" s="3">
        <v>2.5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26.0</v>
      </c>
      <c r="B11" s="3">
        <v>0.0</v>
      </c>
      <c r="D11" s="3">
        <v>85.0</v>
      </c>
      <c r="E11" s="3">
        <v>0.0</v>
      </c>
      <c r="G11" s="3">
        <v>85.0</v>
      </c>
      <c r="H11" s="3">
        <v>25.5</v>
      </c>
      <c r="J11" s="3">
        <v>0.0</v>
      </c>
      <c r="K11" s="3">
        <v>2.5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26.0</v>
      </c>
      <c r="B12" s="3">
        <v>25.5</v>
      </c>
      <c r="D12" s="3">
        <v>85.0</v>
      </c>
      <c r="E12" s="3">
        <v>25.5</v>
      </c>
      <c r="G12" s="3">
        <v>85.0</v>
      </c>
      <c r="H12" s="3">
        <v>35.85</v>
      </c>
      <c r="J12" s="3">
        <v>0.0</v>
      </c>
      <c r="K12" s="3">
        <v>0.0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25.5</v>
      </c>
      <c r="D13" s="3">
        <v>26.0</v>
      </c>
      <c r="E13" s="3">
        <v>25.5</v>
      </c>
      <c r="G13" s="3">
        <v>0.0</v>
      </c>
      <c r="H13" s="3">
        <v>35.85</v>
      </c>
      <c r="J13" s="3">
        <v>85.0</v>
      </c>
      <c r="K13" s="3">
        <v>0.0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>
        <v>85.0</v>
      </c>
      <c r="K14" s="3">
        <v>-25.0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-60.0</v>
      </c>
      <c r="K15" s="3">
        <v>-25.0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13.0</v>
      </c>
      <c r="C3" s="3">
        <v>42.225</v>
      </c>
      <c r="D3" s="3" t="inlineStr">
        <is>
          <t>Depth</t>
        </is>
      </c>
      <c r="E3" s="3">
        <v>2.5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13.0</v>
      </c>
      <c r="C4" s="3">
        <v>42.225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0.5</v>
      </c>
      <c r="C7" s="3">
        <v>35.85</v>
      </c>
      <c r="D7" s="3">
        <v>1516.2790697674</v>
      </c>
      <c r="F7" s="3">
        <v>11.25</v>
      </c>
      <c r="G7" s="3">
        <v>35.85</v>
      </c>
      <c r="H7" s="3">
        <v>250.0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11.25</v>
      </c>
      <c r="C8" s="3">
        <v>35.85</v>
      </c>
      <c r="D8" s="3">
        <v>1516.2790697674</v>
      </c>
      <c r="F8" s="3">
        <v>85.0</v>
      </c>
      <c r="G8" s="3">
        <v>35.85</v>
      </c>
      <c r="H8" s="3">
        <v>250.0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Level 1</t>
        </is>
      </c>
      <c r="C3" s="3">
        <v>0.0</v>
      </c>
      <c r="D3" s="3">
        <v>24.38</v>
      </c>
      <c r="E3" s="3">
        <v>26.0</v>
      </c>
      <c r="F3" s="3">
        <v>24.38</v>
      </c>
      <c r="G3" s="3"/>
      <c r="H3" s="3" t="inlineStr">
        <is>
          <t>Axial</t>
        </is>
      </c>
      <c r="I3" s="3" t="str">
        <f t="shared" ref="I3:I22" si="1">IF($G3="","",IFERROR(VLOOKUP($G3,$AB$8:$AD$11,3,0),""))</f>
        <v/>
      </c>
      <c r="J3" s="3">
        <v>10000.0</v>
      </c>
      <c r="K3" s="3">
        <v>0.0</v>
      </c>
      <c r="L3" s="3">
        <v>0.0</v>
      </c>
      <c r="M3" s="3">
        <v>0.0</v>
      </c>
      <c r="N3" s="3">
        <v>11.4949217408</v>
      </c>
      <c r="O3" s="3">
        <v>10000.0</v>
      </c>
      <c r="P3" s="3">
        <v>0.0</v>
      </c>
      <c r="Q3" s="3">
        <v>1.7</v>
      </c>
      <c r="R3" s="3"/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Level 2</t>
        </is>
      </c>
      <c r="C4" s="3">
        <v>0.0</v>
      </c>
      <c r="D4" s="3">
        <v>23.15</v>
      </c>
      <c r="E4" s="3">
        <v>26.0</v>
      </c>
      <c r="F4" s="3">
        <v>23.15</v>
      </c>
      <c r="G4" s="3"/>
      <c r="H4" s="3" t="inlineStr">
        <is>
          <t>Axial</t>
        </is>
      </c>
      <c r="I4" s="3" t="str">
        <f t="shared" si="1"/>
        <v/>
      </c>
      <c r="J4" s="3">
        <v>10000.0</v>
      </c>
      <c r="K4" s="3">
        <v>0.0</v>
      </c>
      <c r="L4" s="3">
        <v>0.0</v>
      </c>
      <c r="M4" s="3">
        <v>0.0</v>
      </c>
      <c r="N4" s="3">
        <v>10.7531006566</v>
      </c>
      <c r="O4" s="3">
        <v>10000.0</v>
      </c>
      <c r="P4" s="3">
        <v>0.0</v>
      </c>
      <c r="Q4" s="3">
        <v>1.7</v>
      </c>
      <c r="R4" s="3"/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Level 3</t>
        </is>
      </c>
      <c r="C5" s="3">
        <v>0.0</v>
      </c>
      <c r="D5" s="3">
        <v>20.69</v>
      </c>
      <c r="E5" s="3">
        <v>26.0</v>
      </c>
      <c r="F5" s="3">
        <v>20.69</v>
      </c>
      <c r="G5" s="3"/>
      <c r="H5" s="3" t="inlineStr">
        <is>
          <t>Axial</t>
        </is>
      </c>
      <c r="I5" s="3" t="str">
        <f t="shared" si="1"/>
        <v/>
      </c>
      <c r="J5" s="3">
        <v>10000.0</v>
      </c>
      <c r="K5" s="3">
        <v>0.0</v>
      </c>
      <c r="L5" s="3">
        <v>0.0</v>
      </c>
      <c r="M5" s="3">
        <v>0.0</v>
      </c>
      <c r="N5" s="3">
        <v>9.2678409331</v>
      </c>
      <c r="O5" s="3">
        <v>10000.0</v>
      </c>
      <c r="P5" s="3">
        <v>0.0</v>
      </c>
      <c r="Q5" s="3">
        <v>1.3</v>
      </c>
      <c r="R5" s="3"/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Level 4</t>
        </is>
      </c>
      <c r="C6" s="3">
        <v>0.0</v>
      </c>
      <c r="D6" s="3">
        <v>18.23</v>
      </c>
      <c r="E6" s="3">
        <v>26.0</v>
      </c>
      <c r="F6" s="3">
        <v>18.23</v>
      </c>
      <c r="G6" s="3"/>
      <c r="H6" s="3" t="inlineStr">
        <is>
          <t>Axial</t>
        </is>
      </c>
      <c r="I6" s="3" t="str">
        <f t="shared" si="1"/>
        <v/>
      </c>
      <c r="J6" s="3">
        <v>10000.0</v>
      </c>
      <c r="K6" s="3">
        <v>0.0</v>
      </c>
      <c r="L6" s="3">
        <v>0.0</v>
      </c>
      <c r="M6" s="3">
        <v>0.0</v>
      </c>
      <c r="N6" s="3">
        <v>7.7699114035</v>
      </c>
      <c r="O6" s="3">
        <v>10000.0</v>
      </c>
      <c r="P6" s="3">
        <v>0.0</v>
      </c>
      <c r="Q6" s="3">
        <v>1.4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Level 5</t>
        </is>
      </c>
      <c r="C7" s="3">
        <v>0.0</v>
      </c>
      <c r="D7" s="3">
        <v>15.77</v>
      </c>
      <c r="E7" s="3">
        <v>26.0</v>
      </c>
      <c r="F7" s="3">
        <v>15.77</v>
      </c>
      <c r="G7" s="3"/>
      <c r="H7" s="3" t="inlineStr">
        <is>
          <t>Axial</t>
        </is>
      </c>
      <c r="I7" s="3" t="str">
        <f t="shared" si="1"/>
        <v/>
      </c>
      <c r="J7" s="3">
        <v>10000.0</v>
      </c>
      <c r="K7" s="3">
        <v>0.0</v>
      </c>
      <c r="L7" s="3">
        <v>0.0</v>
      </c>
      <c r="M7" s="3">
        <v>0.0</v>
      </c>
      <c r="N7" s="3">
        <v>6.3169230209</v>
      </c>
      <c r="O7" s="3">
        <v>10000.0</v>
      </c>
      <c r="P7" s="3">
        <v>0.0</v>
      </c>
      <c r="Q7" s="3">
        <v>1.4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Level 6</t>
        </is>
      </c>
      <c r="C8" s="3">
        <v>0.0</v>
      </c>
      <c r="D8" s="3">
        <v>13.31</v>
      </c>
      <c r="E8" s="3">
        <v>26.0</v>
      </c>
      <c r="F8" s="3">
        <v>13.31</v>
      </c>
      <c r="G8" s="3"/>
      <c r="H8" s="3" t="inlineStr">
        <is>
          <t>Axial</t>
        </is>
      </c>
      <c r="I8" s="3" t="str">
        <f t="shared" si="1"/>
        <v/>
      </c>
      <c r="J8" s="3">
        <v>10000.0</v>
      </c>
      <c r="K8" s="3">
        <v>0.0</v>
      </c>
      <c r="L8" s="3">
        <v>0.0</v>
      </c>
      <c r="M8" s="3">
        <v>0.0</v>
      </c>
      <c r="N8" s="3">
        <v>6.3169230209</v>
      </c>
      <c r="O8" s="3">
        <v>10000.0</v>
      </c>
      <c r="P8" s="3">
        <v>0.0</v>
      </c>
      <c r="Q8" s="3">
        <v>1.4</v>
      </c>
      <c r="R8" s="3"/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Level 7</t>
        </is>
      </c>
      <c r="C9" s="3">
        <v>0.0</v>
      </c>
      <c r="D9" s="3">
        <v>10.85</v>
      </c>
      <c r="E9" s="3">
        <v>26.0</v>
      </c>
      <c r="F9" s="3">
        <v>10.85</v>
      </c>
      <c r="G9" s="3"/>
      <c r="H9" s="3" t="inlineStr">
        <is>
          <t>Axial</t>
        </is>
      </c>
      <c r="I9" s="3" t="str">
        <f t="shared" si="1"/>
        <v/>
      </c>
      <c r="J9" s="3">
        <v>10000.0</v>
      </c>
      <c r="K9" s="3">
        <v>0.0</v>
      </c>
      <c r="L9" s="3">
        <v>0.0</v>
      </c>
      <c r="M9" s="3">
        <v>0.0</v>
      </c>
      <c r="N9" s="3">
        <v>6.3169230209</v>
      </c>
      <c r="O9" s="3">
        <v>10000.0</v>
      </c>
      <c r="P9" s="3">
        <v>0.0</v>
      </c>
      <c r="Q9" s="3">
        <v>1.4</v>
      </c>
      <c r="R9" s="3"/>
      <c r="S9" s="3">
        <v>0.0</v>
      </c>
      <c r="T9" s="3">
        <v>0.0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Level 8</t>
        </is>
      </c>
      <c r="C10" s="3">
        <v>0.0</v>
      </c>
      <c r="D10" s="3">
        <v>8.39</v>
      </c>
      <c r="E10" s="3">
        <v>26.0</v>
      </c>
      <c r="F10" s="3">
        <v>8.39</v>
      </c>
      <c r="G10" s="3"/>
      <c r="H10" s="3" t="inlineStr">
        <is>
          <t>Axial</t>
        </is>
      </c>
      <c r="I10" s="3" t="str">
        <f t="shared" si="1"/>
        <v/>
      </c>
      <c r="J10" s="3">
        <v>10000.0</v>
      </c>
      <c r="K10" s="3">
        <v>0.0</v>
      </c>
      <c r="L10" s="3">
        <v>0.0</v>
      </c>
      <c r="M10" s="3">
        <v>0.0</v>
      </c>
      <c r="N10" s="3">
        <v>6.3169230209</v>
      </c>
      <c r="O10" s="3">
        <v>10000.0</v>
      </c>
      <c r="P10" s="3">
        <v>0.0</v>
      </c>
      <c r="Q10" s="3">
        <v>1.4</v>
      </c>
      <c r="R10" s="3"/>
      <c r="S10" s="3">
        <v>0.0</v>
      </c>
      <c r="T10" s="3">
        <v>0.0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Level 9</t>
        </is>
      </c>
      <c r="C11" s="3">
        <v>0.0</v>
      </c>
      <c r="D11" s="3">
        <v>5.93</v>
      </c>
      <c r="E11" s="3">
        <v>26.0</v>
      </c>
      <c r="F11" s="3">
        <v>5.93</v>
      </c>
      <c r="G11" s="3"/>
      <c r="H11" s="3" t="inlineStr">
        <is>
          <t>Axial</t>
        </is>
      </c>
      <c r="I11" s="3" t="str">
        <f t="shared" si="1"/>
        <v/>
      </c>
      <c r="J11" s="3">
        <v>10000.0</v>
      </c>
      <c r="K11" s="3">
        <v>0.0</v>
      </c>
      <c r="L11" s="3">
        <v>0.0</v>
      </c>
      <c r="M11" s="3">
        <v>0.0</v>
      </c>
      <c r="N11" s="3">
        <v>6.3169230209</v>
      </c>
      <c r="O11" s="3">
        <v>10000.0</v>
      </c>
      <c r="P11" s="3">
        <v>0.0</v>
      </c>
      <c r="Q11" s="3">
        <v>1.3</v>
      </c>
      <c r="R11" s="3"/>
      <c r="S11" s="3">
        <v>0.0</v>
      </c>
      <c r="T11" s="3">
        <v>0.0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Level 10</t>
        </is>
      </c>
      <c r="C12" s="3">
        <v>0.0</v>
      </c>
      <c r="D12" s="3">
        <v>3.47</v>
      </c>
      <c r="E12" s="3">
        <v>26.0</v>
      </c>
      <c r="F12" s="3">
        <v>3.47</v>
      </c>
      <c r="G12" s="3"/>
      <c r="H12" s="3" t="inlineStr">
        <is>
          <t>Axial</t>
        </is>
      </c>
      <c r="I12" s="3" t="str">
        <f t="shared" si="1"/>
        <v/>
      </c>
      <c r="J12" s="3">
        <v>10000.0</v>
      </c>
      <c r="K12" s="3">
        <v>0.0</v>
      </c>
      <c r="L12" s="3">
        <v>0.0</v>
      </c>
      <c r="M12" s="3">
        <v>0.0</v>
      </c>
      <c r="N12" s="3">
        <v>6.3169230209</v>
      </c>
      <c r="O12" s="3">
        <v>10000.0</v>
      </c>
      <c r="P12" s="3">
        <v>0.0</v>
      </c>
      <c r="Q12" s="3">
        <v>1.3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 t="inlineStr">
        <is>
          <t>Level 11</t>
        </is>
      </c>
      <c r="C13" s="3">
        <v>0.0</v>
      </c>
      <c r="D13" s="3">
        <v>1.01</v>
      </c>
      <c r="E13" s="3">
        <v>26.0</v>
      </c>
      <c r="F13" s="3">
        <v>1.01</v>
      </c>
      <c r="G13" s="3"/>
      <c r="H13" s="3" t="inlineStr">
        <is>
          <t>Axial</t>
        </is>
      </c>
      <c r="I13" s="3" t="str">
        <f t="shared" si="1"/>
        <v/>
      </c>
      <c r="J13" s="3">
        <v>10000.0</v>
      </c>
      <c r="K13" s="3">
        <v>0.0</v>
      </c>
      <c r="L13" s="3">
        <v>0.0</v>
      </c>
      <c r="M13" s="3">
        <v>0.0</v>
      </c>
      <c r="N13" s="3">
        <v>6.3169230209</v>
      </c>
      <c r="O13" s="3">
        <v>10000.0</v>
      </c>
      <c r="P13" s="3">
        <v>0.0</v>
      </c>
      <c r="Q13" s="3">
        <v>1.3</v>
      </c>
      <c r="R13" s="3"/>
      <c r="S13" s="3">
        <v>0.0</v>
      </c>
      <c r="T13" s="3">
        <v>0.0</v>
      </c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