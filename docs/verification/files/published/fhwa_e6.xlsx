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<sst xmlns="http://schemas.openxmlformats.org/spreadsheetml/2006/main" count="602" uniqueCount="319">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</sst>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fill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  <c r="AQ11" s="3"/>
    </row>
    <row r="12" spans="1:43" x14ac:dyDescent="0.2">
      <c r="A12" s="3">
        <v>2</v>
      </c>
      <c r="B12" s="3" t="inlineStr">
        <is>
          <t>Retained backfill</t>
        </is>
      </c>
      <c r="C12" s="3">
        <v>125.0</v>
      </c>
      <c r="D12" s="3"/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/>
      <c r="N12" s="3"/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125.0</v>
      </c>
      <c r="D13" s="3"/>
      <c r="E13" s="3" t="inlineStr">
        <is>
          <t>mc</t>
        </is>
      </c>
      <c r="F13" s="3">
        <v>0.0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/>
      <c r="N13" s="3"/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-22.0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18.0</v>
      </c>
      <c r="E10" s="3">
        <v>0.0</v>
      </c>
      <c r="G10" s="3">
        <v>-55.0</v>
      </c>
      <c r="H10" s="3">
        <v>2.0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18.0</v>
      </c>
      <c r="B11" s="3">
        <v>0.0</v>
      </c>
      <c r="D11" s="3">
        <v>75.0</v>
      </c>
      <c r="E11" s="3">
        <v>0.0</v>
      </c>
      <c r="G11" s="3">
        <v>0.0</v>
      </c>
      <c r="H11" s="3">
        <v>2.0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</v>
      </c>
      <c r="B12" s="3">
        <v>27.64</v>
      </c>
      <c r="D12" s="3">
        <v>75.0</v>
      </c>
      <c r="E12" s="3">
        <v>27.64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27.64</v>
      </c>
      <c r="D13" s="3">
        <v>18.0</v>
      </c>
      <c r="E13" s="3">
        <v>27.64</v>
      </c>
      <c r="G13" s="3">
        <v>75.0</v>
      </c>
      <c r="H13" s="3">
        <v>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75.0</v>
      </c>
      <c r="H14" s="3">
        <v>-22.0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-55.0</v>
      </c>
      <c r="H15" s="3">
        <v>-22.0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9.0</v>
      </c>
      <c r="C3" s="3">
        <v>34.05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9.0</v>
      </c>
      <c r="C4" s="3">
        <v>34.05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 t="inlineStr">
        <is>
          <t>Level 1 (4W)</t>
        </is>
      </c>
      <c r="C3" s="3">
        <v>0.0</v>
      </c>
      <c r="D3" s="3">
        <v>23.77</v>
      </c>
      <c r="E3" s="3">
        <v>18.0</v>
      </c>
      <c r="F3" s="3">
        <v>23.77</v>
      </c>
      <c r="G3" s="3"/>
      <c r="H3" s="3" t="inlineStr">
        <is>
          <t>Axial</t>
        </is>
      </c>
      <c r="I3" s="3" t="str">
        <f t="shared" ref="I3:I22" si="1">IF($G3="","",IFERROR(VLOOKUP($G3,$AB$8:$AD$11,3,0),""))</f>
        <v/>
      </c>
      <c r="J3" s="3">
        <v>20680.0</v>
      </c>
      <c r="K3" s="3">
        <v>0.0</v>
      </c>
      <c r="L3" s="3">
        <v>0.0</v>
      </c>
      <c r="M3" s="3">
        <v>0.0</v>
      </c>
      <c r="N3" s="3">
        <v>60.7208571454</v>
      </c>
      <c r="O3" s="3">
        <v>20680.0</v>
      </c>
      <c r="P3" s="3">
        <v>0.0</v>
      </c>
      <c r="Q3" s="3">
        <v>5.0</v>
      </c>
      <c r="R3" s="3"/>
      <c r="S3" s="3">
        <v>0.0</v>
      </c>
      <c r="T3" s="3">
        <v>0.0</v>
      </c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 t="inlineStr">
        <is>
          <t>Level 2 (3W)</t>
        </is>
      </c>
      <c r="C4" s="3">
        <v>0.0</v>
      </c>
      <c r="D4" s="3">
        <v>21.27</v>
      </c>
      <c r="E4" s="3">
        <v>18.0</v>
      </c>
      <c r="F4" s="3">
        <v>21.27</v>
      </c>
      <c r="G4" s="3"/>
      <c r="H4" s="3" t="inlineStr">
        <is>
          <t>Axial</t>
        </is>
      </c>
      <c r="I4" s="3" t="str">
        <f t="shared" si="1"/>
        <v/>
      </c>
      <c r="J4" s="3">
        <v>15510.0</v>
      </c>
      <c r="K4" s="3">
        <v>0.0</v>
      </c>
      <c r="L4" s="3">
        <v>0.0</v>
      </c>
      <c r="M4" s="3">
        <v>0.0</v>
      </c>
      <c r="N4" s="3">
        <v>48.0099383854</v>
      </c>
      <c r="O4" s="3">
        <v>15510.0</v>
      </c>
      <c r="P4" s="3">
        <v>0.0</v>
      </c>
      <c r="Q4" s="3">
        <v>5.0</v>
      </c>
      <c r="R4" s="3"/>
      <c r="S4" s="3">
        <v>0.0</v>
      </c>
      <c r="T4" s="3">
        <v>0.0</v>
      </c>
      <c r="AB4" t="s">
        <v>263</v>
      </c>
    </row>
    <row r="5" spans="1:30" x14ac:dyDescent="0.2">
      <c r="A5" s="3">
        <v>3</v>
      </c>
      <c r="B5" s="3" t="inlineStr">
        <is>
          <t>Level 3 (4W)</t>
        </is>
      </c>
      <c r="C5" s="3">
        <v>0.0</v>
      </c>
      <c r="D5" s="3">
        <v>18.77</v>
      </c>
      <c r="E5" s="3">
        <v>18.0</v>
      </c>
      <c r="F5" s="3">
        <v>18.77</v>
      </c>
      <c r="G5" s="3"/>
      <c r="H5" s="3" t="inlineStr">
        <is>
          <t>Axial</t>
        </is>
      </c>
      <c r="I5" s="3" t="str">
        <f t="shared" si="1"/>
        <v/>
      </c>
      <c r="J5" s="3">
        <v>20680.0</v>
      </c>
      <c r="K5" s="3">
        <v>0.0</v>
      </c>
      <c r="L5" s="3">
        <v>0.0</v>
      </c>
      <c r="M5" s="3">
        <v>0.0</v>
      </c>
      <c r="N5" s="3">
        <v>57.1630366314</v>
      </c>
      <c r="O5" s="3">
        <v>20680.0</v>
      </c>
      <c r="P5" s="3">
        <v>0.0</v>
      </c>
      <c r="Q5" s="3">
        <v>5.0</v>
      </c>
      <c r="R5" s="3"/>
      <c r="S5" s="3">
        <v>0.0</v>
      </c>
      <c r="T5" s="3">
        <v>0.0</v>
      </c>
      <c r="AB5" t="s">
        <v>264</v>
      </c>
    </row>
    <row r="6" spans="1:30" x14ac:dyDescent="0.2">
      <c r="A6" s="3">
        <v>4</v>
      </c>
      <c r="B6" s="3" t="inlineStr">
        <is>
          <t>Level 4 (4W)</t>
        </is>
      </c>
      <c r="C6" s="3">
        <v>0.0</v>
      </c>
      <c r="D6" s="3">
        <v>16.27</v>
      </c>
      <c r="E6" s="3">
        <v>18.0</v>
      </c>
      <c r="F6" s="3">
        <v>16.27</v>
      </c>
      <c r="G6" s="3"/>
      <c r="H6" s="3" t="inlineStr">
        <is>
          <t>Axial</t>
        </is>
      </c>
      <c r="I6" s="3" t="str">
        <f t="shared" si="1"/>
        <v/>
      </c>
      <c r="J6" s="3">
        <v>20680.0</v>
      </c>
      <c r="K6" s="3">
        <v>0.0</v>
      </c>
      <c r="L6" s="3">
        <v>0.0</v>
      </c>
      <c r="M6" s="3">
        <v>0.0</v>
      </c>
      <c r="N6" s="3">
        <v>55.0818664633</v>
      </c>
      <c r="O6" s="3">
        <v>20680.0</v>
      </c>
      <c r="P6" s="3">
        <v>0.0</v>
      </c>
      <c r="Q6" s="3">
        <v>5.0</v>
      </c>
      <c r="R6" s="3"/>
      <c r="S6" s="3">
        <v>0.0</v>
      </c>
      <c r="T6" s="3">
        <v>0.0</v>
      </c>
    </row>
    <row r="7" spans="1:30" x14ac:dyDescent="0.2">
      <c r="A7" s="3">
        <v>5</v>
      </c>
      <c r="B7" s="3" t="inlineStr">
        <is>
          <t>Level 5 (4W)</t>
        </is>
      </c>
      <c r="C7" s="3">
        <v>0.0</v>
      </c>
      <c r="D7" s="3">
        <v>13.77</v>
      </c>
      <c r="E7" s="3">
        <v>18.0</v>
      </c>
      <c r="F7" s="3">
        <v>13.77</v>
      </c>
      <c r="G7" s="3"/>
      <c r="H7" s="3" t="inlineStr">
        <is>
          <t>Axial</t>
        </is>
      </c>
      <c r="I7" s="3" t="str">
        <f t="shared" si="1"/>
        <v/>
      </c>
      <c r="J7" s="3">
        <v>29680.0</v>
      </c>
      <c r="K7" s="3">
        <v>0.0</v>
      </c>
      <c r="L7" s="3">
        <v>0.0</v>
      </c>
      <c r="M7" s="3">
        <v>0.0</v>
      </c>
      <c r="N7" s="3">
        <v>33.3049139381</v>
      </c>
      <c r="O7" s="3">
        <v>29680.0</v>
      </c>
      <c r="P7" s="3">
        <v>0.0</v>
      </c>
      <c r="Q7" s="3">
        <v>5.0</v>
      </c>
      <c r="R7" s="3"/>
      <c r="S7" s="3">
        <v>0.0</v>
      </c>
      <c r="T7" s="3">
        <v>0.0</v>
      </c>
    </row>
    <row r="8" spans="1:30" x14ac:dyDescent="0.2">
      <c r="A8" s="3">
        <v>6</v>
      </c>
      <c r="B8" s="3" t="inlineStr">
        <is>
          <t>Level 6 (4W)</t>
        </is>
      </c>
      <c r="C8" s="3">
        <v>0.0</v>
      </c>
      <c r="D8" s="3">
        <v>11.27</v>
      </c>
      <c r="E8" s="3">
        <v>18.0</v>
      </c>
      <c r="F8" s="3">
        <v>11.27</v>
      </c>
      <c r="G8" s="3"/>
      <c r="H8" s="3" t="inlineStr">
        <is>
          <t>Axial</t>
        </is>
      </c>
      <c r="I8" s="3" t="str">
        <f t="shared" si="1"/>
        <v/>
      </c>
      <c r="J8" s="3">
        <v>29680.0</v>
      </c>
      <c r="K8" s="3">
        <v>0.0</v>
      </c>
      <c r="L8" s="3">
        <v>0.0</v>
      </c>
      <c r="M8" s="3">
        <v>0.0</v>
      </c>
      <c r="N8" s="3">
        <v>30.9005208361</v>
      </c>
      <c r="O8" s="3">
        <v>29680.0</v>
      </c>
      <c r="P8" s="3">
        <v>0.0</v>
      </c>
      <c r="Q8" s="3">
        <v>5.0</v>
      </c>
      <c r="R8" s="3"/>
      <c r="S8" s="3">
        <v>0.0</v>
      </c>
      <c r="T8" s="3">
        <v>0.0</v>
      </c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 t="inlineStr">
        <is>
          <t>Level 7 (4W)</t>
        </is>
      </c>
      <c r="C9" s="3">
        <v>0.0</v>
      </c>
      <c r="D9" s="3">
        <v>8.77</v>
      </c>
      <c r="E9" s="3">
        <v>18.0</v>
      </c>
      <c r="F9" s="3">
        <v>8.77</v>
      </c>
      <c r="G9" s="3"/>
      <c r="H9" s="3" t="inlineStr">
        <is>
          <t>Axial</t>
        </is>
      </c>
      <c r="I9" s="3" t="str">
        <f t="shared" si="1"/>
        <v/>
      </c>
      <c r="J9" s="3">
        <v>29680.0</v>
      </c>
      <c r="K9" s="3">
        <v>0.0</v>
      </c>
      <c r="L9" s="3">
        <v>0.0</v>
      </c>
      <c r="M9" s="3">
        <v>0.0</v>
      </c>
      <c r="N9" s="3">
        <v>28.3690462933</v>
      </c>
      <c r="O9" s="3">
        <v>29680.0</v>
      </c>
      <c r="P9" s="3">
        <v>0.0</v>
      </c>
      <c r="Q9" s="3">
        <v>5.0</v>
      </c>
      <c r="R9" s="3"/>
      <c r="S9" s="3">
        <v>0.0</v>
      </c>
      <c r="T9" s="3">
        <v>0.0</v>
      </c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 t="inlineStr">
        <is>
          <t>Level 8 (4W)</t>
        </is>
      </c>
      <c r="C10" s="3">
        <v>0.0</v>
      </c>
      <c r="D10" s="3">
        <v>6.27</v>
      </c>
      <c r="E10" s="3">
        <v>18.0</v>
      </c>
      <c r="F10" s="3">
        <v>6.27</v>
      </c>
      <c r="G10" s="3"/>
      <c r="H10" s="3" t="inlineStr">
        <is>
          <t>Axial</t>
        </is>
      </c>
      <c r="I10" s="3" t="str">
        <f t="shared" si="1"/>
        <v/>
      </c>
      <c r="J10" s="3">
        <v>29680.0</v>
      </c>
      <c r="K10" s="3">
        <v>0.0</v>
      </c>
      <c r="L10" s="3">
        <v>0.0</v>
      </c>
      <c r="M10" s="3">
        <v>0.0</v>
      </c>
      <c r="N10" s="3">
        <v>17.7966302037</v>
      </c>
      <c r="O10" s="3">
        <v>29680.0</v>
      </c>
      <c r="P10" s="3">
        <v>0.0</v>
      </c>
      <c r="Q10" s="3">
        <v>5.0</v>
      </c>
      <c r="R10" s="3"/>
      <c r="S10" s="3">
        <v>0.0</v>
      </c>
      <c r="T10" s="3">
        <v>0.0</v>
      </c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 t="inlineStr">
        <is>
          <t>Level 9 (4W)</t>
        </is>
      </c>
      <c r="C11" s="3">
        <v>0.0</v>
      </c>
      <c r="D11" s="3">
        <v>3.77</v>
      </c>
      <c r="E11" s="3">
        <v>18.0</v>
      </c>
      <c r="F11" s="3">
        <v>3.77</v>
      </c>
      <c r="G11" s="3"/>
      <c r="H11" s="3" t="inlineStr">
        <is>
          <t>Axial</t>
        </is>
      </c>
      <c r="I11" s="3" t="str">
        <f t="shared" si="1"/>
        <v/>
      </c>
      <c r="J11" s="3">
        <v>29680.0</v>
      </c>
      <c r="K11" s="3">
        <v>0.0</v>
      </c>
      <c r="L11" s="3">
        <v>0.0</v>
      </c>
      <c r="M11" s="3">
        <v>0.0</v>
      </c>
      <c r="N11" s="3">
        <v>17.3279217772</v>
      </c>
      <c r="O11" s="3">
        <v>29680.0</v>
      </c>
      <c r="P11" s="3">
        <v>0.0</v>
      </c>
      <c r="Q11" s="3">
        <v>5.0</v>
      </c>
      <c r="R11" s="3"/>
      <c r="S11" s="3">
        <v>0.0</v>
      </c>
      <c r="T11" s="3">
        <v>0.0</v>
      </c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 t="inlineStr">
        <is>
          <t>Level 10 (4W)</t>
        </is>
      </c>
      <c r="C12" s="3">
        <v>0.0</v>
      </c>
      <c r="D12" s="3">
        <v>1.27</v>
      </c>
      <c r="E12" s="3">
        <v>18.0</v>
      </c>
      <c r="F12" s="3">
        <v>1.27</v>
      </c>
      <c r="G12" s="3"/>
      <c r="H12" s="3" t="inlineStr">
        <is>
          <t>Axial</t>
        </is>
      </c>
      <c r="I12" s="3" t="str">
        <f t="shared" si="1"/>
        <v/>
      </c>
      <c r="J12" s="3">
        <v>29680.0</v>
      </c>
      <c r="K12" s="3">
        <v>0.0</v>
      </c>
      <c r="L12" s="3">
        <v>0.0</v>
      </c>
      <c r="M12" s="3">
        <v>0.0</v>
      </c>
      <c r="N12" s="3">
        <v>17.3279217772</v>
      </c>
      <c r="O12" s="3">
        <v>29680.0</v>
      </c>
      <c r="P12" s="3">
        <v>0.0</v>
      </c>
      <c r="Q12" s="3">
        <v>5.0</v>
      </c>
      <c r="R12" s="3"/>
      <c r="S12" s="3">
        <v>0.0</v>
      </c>
      <c r="T12" s="3">
        <v>0.0</v>
      </c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IF($G13="","",IFERROR(VLOOKUP($G13,$AB$8:$AD$11,2,0),""))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