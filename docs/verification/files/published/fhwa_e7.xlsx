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523500CF-89B8-4644-B955-31C74218CF4E}" xr6:coauthVersionLast="47" xr6:coauthVersionMax="47" xr10:uidLastSave="{00000000-0000-0000-0000-000000000000}"/>
  <bookViews>
    <workbookView xWindow="4560" yWindow="4320" windowWidth="4694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<sst xmlns="http://schemas.openxmlformats.org/spreadsheetml/2006/main" count="601" uniqueCount="318">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</sst>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217714</xdr:colOff>
      <xdr:row>1</xdr:row>
      <xdr:rowOff>54430</xdr:rowOff>
    </xdr:from>
    <xdr:to>
      <xdr:col>25</xdr:col>
      <xdr:colOff>444500</xdr:colOff>
      <xdr:row>21</xdr:row>
      <xdr:rowOff>90714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6455571" y="254001"/>
          <a:ext cx="3855358" cy="4027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soii-reinforcement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25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0.211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313</v>
      </c>
      <c r="F20" s="1" t="s">
        <v>46</v>
      </c>
      <c r="G20" s="9" t="s">
        <v>47</v>
      </c>
      <c r="D20"/>
    </row>
    <row r="21" spans="2:7" x14ac:dyDescent="0.2">
      <c r="C21" s="14" t="s">
        <v>45</v>
      </c>
      <c r="F21" s="1" t="s">
        <v>49</v>
      </c>
      <c r="G21" t="s">
        <v>50</v>
      </c>
      <c r="D21"/>
    </row>
    <row r="22" spans="2:7" x14ac:dyDescent="0.2">
      <c r="C22" s="14" t="s">
        <v>48</v>
      </c>
      <c r="F22" s="1"/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manual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310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2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2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94</v>
      </c>
    </row>
    <row r="5" spans="1:42" x14ac:dyDescent="0.2">
      <c r="C5" s="1" t="s">
        <v>95</v>
      </c>
      <c r="D5" t="s">
        <v>96</v>
      </c>
      <c r="L5" s="26"/>
      <c r="M5" s="9" t="s">
        <v>97</v>
      </c>
      <c r="O5" s="1" t="s">
        <v>98</v>
      </c>
      <c r="P5" s="9" t="s">
        <v>99</v>
      </c>
      <c r="AD5" s="14"/>
      <c r="AJ5" s="1" t="s">
        <v>100</v>
      </c>
      <c r="AK5" s="9" t="s">
        <v>101</v>
      </c>
    </row>
    <row r="6" spans="1:42" x14ac:dyDescent="0.2">
      <c r="C6" s="1" t="s">
        <v>102</v>
      </c>
      <c r="D6" s="9" t="s">
        <v>103</v>
      </c>
      <c r="L6" s="29"/>
      <c r="M6" s="9" t="s">
        <v>104</v>
      </c>
      <c r="O6" s="1" t="s">
        <v>105</v>
      </c>
      <c r="P6" t="s">
        <v>106</v>
      </c>
      <c r="AE6" s="1"/>
      <c r="AF6" s="1"/>
    </row>
    <row r="7" spans="1:42" x14ac:dyDescent="0.2">
      <c r="C7" s="1" t="s">
        <v>107</v>
      </c>
      <c r="D7" s="9" t="s">
        <v>108</v>
      </c>
      <c r="AE7" s="1"/>
      <c r="AF7" s="1"/>
    </row>
    <row r="9" spans="1:42" x14ac:dyDescent="0.2">
      <c r="C9" s="53" t="s">
        <v>109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110</v>
      </c>
      <c r="AB9" s="54"/>
      <c r="AC9" s="54"/>
      <c r="AD9" s="54"/>
      <c r="AE9" s="54"/>
      <c r="AF9" s="54"/>
      <c r="AG9" s="53" t="s">
        <v>111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112</v>
      </c>
      <c r="C10" s="45" t="s">
        <v>113</v>
      </c>
      <c r="D10" s="48" t="s">
        <v>309</v>
      </c>
      <c r="E10" s="44" t="s">
        <v>114</v>
      </c>
      <c r="F10" s="44" t="s">
        <v>115</v>
      </c>
      <c r="G10" s="45" t="s">
        <v>116</v>
      </c>
      <c r="H10" s="44" t="s">
        <v>117</v>
      </c>
      <c r="I10" s="44" t="s">
        <v>118</v>
      </c>
      <c r="J10" s="49" t="s">
        <v>119</v>
      </c>
      <c r="K10" s="49" t="s">
        <v>120</v>
      </c>
      <c r="L10" s="21" t="s">
        <v>121</v>
      </c>
      <c r="M10" s="21" t="s">
        <v>122</v>
      </c>
      <c r="N10" s="43" t="s">
        <v>123</v>
      </c>
      <c r="O10" s="44" t="s">
        <v>124</v>
      </c>
      <c r="P10" s="44" t="s">
        <v>105</v>
      </c>
      <c r="Q10" s="44" t="s">
        <v>125</v>
      </c>
      <c r="R10" s="44" t="s">
        <v>126</v>
      </c>
      <c r="S10" s="44" t="s">
        <v>127</v>
      </c>
      <c r="T10" s="44" t="s">
        <v>128</v>
      </c>
      <c r="U10" s="44" t="s">
        <v>129</v>
      </c>
      <c r="V10" s="44" t="s">
        <v>130</v>
      </c>
      <c r="W10" s="44" t="s">
        <v>131</v>
      </c>
      <c r="X10" s="44" t="s">
        <v>132</v>
      </c>
      <c r="Y10" s="44" t="s">
        <v>133</v>
      </c>
      <c r="Z10" s="44" t="s">
        <v>134</v>
      </c>
      <c r="AA10" s="46" t="s">
        <v>305</v>
      </c>
      <c r="AB10" s="46" t="s">
        <v>304</v>
      </c>
      <c r="AC10" s="47" t="s">
        <v>135</v>
      </c>
      <c r="AD10" s="46" t="s">
        <v>306</v>
      </c>
      <c r="AE10" s="46" t="s">
        <v>307</v>
      </c>
      <c r="AF10" s="47" t="s">
        <v>308</v>
      </c>
      <c r="AG10" s="23" t="s">
        <v>136</v>
      </c>
      <c r="AH10" s="23" t="s">
        <v>137</v>
      </c>
      <c r="AI10" s="23" t="s">
        <v>138</v>
      </c>
      <c r="AJ10" s="23" t="s">
        <v>139</v>
      </c>
      <c r="AK10" s="23" t="s">
        <v>140</v>
      </c>
      <c r="AL10" s="23" t="s">
        <v>141</v>
      </c>
      <c r="AM10" s="23" t="s">
        <v>142</v>
      </c>
      <c r="AN10" s="23" t="s">
        <v>143</v>
      </c>
      <c r="AO10" s="23" t="s">
        <v>144</v>
      </c>
      <c r="AP10" s="23" t="s">
        <v>145</v>
      </c>
    </row>
    <row r="11" spans="1:42" x14ac:dyDescent="0.2">
      <c r="A11" s="3">
        <v>1</v>
      </c>
      <c r="B11" s="3" t="inlineStr">
        <is>
          <t>Reinforced fill</t>
        </is>
      </c>
      <c r="C11" s="3">
        <v>125.0</v>
      </c>
      <c r="D11" s="3"/>
      <c r="E11" s="3" t="inlineStr">
        <is>
          <t>mc</t>
        </is>
      </c>
      <c r="F11" s="3">
        <v>0.0</v>
      </c>
      <c r="G11" s="3">
        <v>34.0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/>
      <c r="N11" s="3"/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 t="inlineStr">
        <is>
          <t>Retained backfill</t>
        </is>
      </c>
      <c r="C12" s="3">
        <v>125.0</v>
      </c>
      <c r="D12" s="3"/>
      <c r="E12" s="3" t="inlineStr">
        <is>
          <t>mc</t>
        </is>
      </c>
      <c r="F12" s="3">
        <v>0.0</v>
      </c>
      <c r="G12" s="3">
        <v>30.0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/>
      <c r="N12" s="3"/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/>
      <c r="AP12" s="19"/>
    </row>
    <row r="13" spans="1:42" x14ac:dyDescent="0.2">
      <c r="A13" s="3">
        <v>3</v>
      </c>
      <c r="B13" s="3" t="inlineStr">
        <is>
          <t>Foundation</t>
        </is>
      </c>
      <c r="C13" s="3">
        <v>125.0</v>
      </c>
      <c r="D13" s="3"/>
      <c r="E13" s="3" t="inlineStr">
        <is>
          <t>mc</t>
        </is>
      </c>
      <c r="F13" s="3">
        <v>0.0</v>
      </c>
      <c r="G13" s="3">
        <v>30.0</v>
      </c>
      <c r="H13" s="3">
        <v>0.0</v>
      </c>
      <c r="I13" s="3">
        <v>0.0</v>
      </c>
      <c r="J13" s="3">
        <v>0.0</v>
      </c>
      <c r="K13" s="3">
        <v>0.0</v>
      </c>
      <c r="L13" s="3"/>
      <c r="M13" s="3"/>
      <c r="N13" s="3"/>
      <c r="O13" s="3" t="inlineStr">
        <is>
          <t>none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146</v>
      </c>
      <c r="B2" s="3">
        <v>-22.0</v>
      </c>
      <c r="D2" s="24" t="s">
        <v>147</v>
      </c>
      <c r="N2" s="24" t="s">
        <v>148</v>
      </c>
    </row>
    <row r="4" spans="1:44" x14ac:dyDescent="0.2">
      <c r="A4" s="55" t="s">
        <v>149</v>
      </c>
      <c r="B4" s="52"/>
      <c r="D4" s="55" t="s">
        <v>150</v>
      </c>
      <c r="E4" s="52"/>
      <c r="G4" s="55" t="s">
        <v>151</v>
      </c>
      <c r="H4" s="52"/>
      <c r="J4" s="55" t="s">
        <v>152</v>
      </c>
      <c r="K4" s="52"/>
      <c r="M4" s="55" t="s">
        <v>153</v>
      </c>
      <c r="N4" s="52"/>
      <c r="P4" s="55" t="s">
        <v>154</v>
      </c>
      <c r="Q4" s="54"/>
      <c r="R4" s="1"/>
      <c r="S4" s="55" t="s">
        <v>155</v>
      </c>
      <c r="T4" s="54"/>
      <c r="U4" s="1"/>
      <c r="V4" s="55" t="s">
        <v>156</v>
      </c>
      <c r="W4" s="54"/>
      <c r="X4" s="1"/>
      <c r="Y4" s="55" t="s">
        <v>157</v>
      </c>
      <c r="Z4" s="54"/>
      <c r="AA4" s="1"/>
      <c r="AB4" s="55" t="s">
        <v>158</v>
      </c>
      <c r="AC4" s="54"/>
      <c r="AE4" s="55" t="s">
        <v>159</v>
      </c>
      <c r="AF4" s="54"/>
      <c r="AG4" s="1"/>
      <c r="AH4" s="55" t="s">
        <v>160</v>
      </c>
      <c r="AI4" s="54"/>
      <c r="AJ4" s="1"/>
      <c r="AK4" s="55" t="s">
        <v>161</v>
      </c>
      <c r="AL4" s="54"/>
      <c r="AM4" s="1"/>
      <c r="AN4" s="55" t="s">
        <v>162</v>
      </c>
      <c r="AO4" s="54"/>
      <c r="AP4" s="1"/>
      <c r="AQ4" s="55" t="s">
        <v>163</v>
      </c>
      <c r="AR4" s="54"/>
    </row>
    <row r="5" spans="1:44" x14ac:dyDescent="0.2">
      <c r="A5" s="36" t="s">
        <v>164</v>
      </c>
      <c r="B5" s="37">
        <v>1</v>
      </c>
      <c r="D5" s="36" t="s">
        <v>164</v>
      </c>
      <c r="E5" s="37">
        <v>2</v>
      </c>
      <c r="G5" s="36" t="s">
        <v>164</v>
      </c>
      <c r="H5" s="37">
        <v>3</v>
      </c>
      <c r="J5" s="36" t="s">
        <v>164</v>
      </c>
      <c r="K5" s="37">
        <v>4</v>
      </c>
      <c r="M5" s="36" t="s">
        <v>164</v>
      </c>
      <c r="N5" s="37">
        <v>5</v>
      </c>
      <c r="P5" s="36" t="s">
        <v>164</v>
      </c>
      <c r="Q5" s="37">
        <v>6</v>
      </c>
      <c r="R5" s="1"/>
      <c r="S5" s="36" t="s">
        <v>164</v>
      </c>
      <c r="T5" s="37">
        <v>7</v>
      </c>
      <c r="U5" s="1"/>
      <c r="V5" s="36" t="s">
        <v>164</v>
      </c>
      <c r="W5" s="37">
        <v>8</v>
      </c>
      <c r="X5" s="1"/>
      <c r="Y5" s="36" t="s">
        <v>164</v>
      </c>
      <c r="Z5" s="37">
        <v>9</v>
      </c>
      <c r="AA5" s="1"/>
      <c r="AB5" s="36" t="s">
        <v>164</v>
      </c>
      <c r="AC5" s="37">
        <v>10</v>
      </c>
      <c r="AE5" s="36" t="s">
        <v>164</v>
      </c>
      <c r="AF5" s="37">
        <v>11</v>
      </c>
      <c r="AG5" s="1"/>
      <c r="AH5" s="36" t="s">
        <v>164</v>
      </c>
      <c r="AI5" s="37">
        <v>12</v>
      </c>
      <c r="AJ5" s="1"/>
      <c r="AK5" s="36" t="s">
        <v>164</v>
      </c>
      <c r="AL5" s="37">
        <v>13</v>
      </c>
      <c r="AM5" s="1"/>
      <c r="AN5" s="36" t="s">
        <v>164</v>
      </c>
      <c r="AO5" s="37">
        <v>14</v>
      </c>
      <c r="AP5" s="1"/>
      <c r="AQ5" s="36" t="s">
        <v>164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165</v>
      </c>
      <c r="B7" s="37"/>
      <c r="D7" s="36" t="s">
        <v>165</v>
      </c>
      <c r="E7" s="37"/>
      <c r="G7" s="36" t="s">
        <v>165</v>
      </c>
      <c r="H7" s="37"/>
      <c r="J7" s="36" t="s">
        <v>165</v>
      </c>
      <c r="K7" s="37"/>
      <c r="M7" s="36" t="s">
        <v>165</v>
      </c>
      <c r="N7" s="37"/>
      <c r="P7" s="36" t="s">
        <v>165</v>
      </c>
      <c r="Q7" s="37"/>
      <c r="R7" s="1"/>
      <c r="S7" s="36" t="s">
        <v>165</v>
      </c>
      <c r="T7" s="37"/>
      <c r="U7" s="1"/>
      <c r="V7" s="36" t="s">
        <v>165</v>
      </c>
      <c r="W7" s="37"/>
      <c r="X7" s="1"/>
      <c r="Y7" s="36" t="s">
        <v>165</v>
      </c>
      <c r="Z7" s="37"/>
      <c r="AA7" s="1"/>
      <c r="AB7" s="36" t="s">
        <v>165</v>
      </c>
      <c r="AC7" s="37"/>
      <c r="AE7" s="36" t="s">
        <v>165</v>
      </c>
      <c r="AF7" s="37"/>
      <c r="AG7" s="1"/>
      <c r="AH7" s="36" t="s">
        <v>165</v>
      </c>
      <c r="AI7" s="37"/>
      <c r="AJ7" s="1"/>
      <c r="AK7" s="36" t="s">
        <v>165</v>
      </c>
      <c r="AL7" s="37"/>
      <c r="AM7" s="1"/>
      <c r="AN7" s="36" t="s">
        <v>165</v>
      </c>
      <c r="AO7" s="37"/>
      <c r="AP7" s="1"/>
      <c r="AQ7" s="36" t="s">
        <v>165</v>
      </c>
      <c r="AR7" s="37"/>
    </row>
    <row r="8" spans="1:44" x14ac:dyDescent="0.2">
      <c r="A8" s="2" t="s">
        <v>166</v>
      </c>
      <c r="B8" s="2" t="s">
        <v>167</v>
      </c>
      <c r="D8" s="2" t="s">
        <v>166</v>
      </c>
      <c r="E8" s="2" t="s">
        <v>167</v>
      </c>
      <c r="G8" s="2" t="s">
        <v>166</v>
      </c>
      <c r="H8" s="2" t="s">
        <v>167</v>
      </c>
      <c r="J8" s="2" t="s">
        <v>166</v>
      </c>
      <c r="K8" s="2" t="s">
        <v>167</v>
      </c>
      <c r="M8" s="2" t="s">
        <v>166</v>
      </c>
      <c r="N8" s="2" t="s">
        <v>167</v>
      </c>
      <c r="P8" s="2" t="s">
        <v>166</v>
      </c>
      <c r="Q8" s="2" t="s">
        <v>167</v>
      </c>
      <c r="R8" s="1"/>
      <c r="S8" s="2" t="s">
        <v>166</v>
      </c>
      <c r="T8" s="2" t="s">
        <v>167</v>
      </c>
      <c r="U8" s="1"/>
      <c r="V8" s="2" t="s">
        <v>166</v>
      </c>
      <c r="W8" s="2" t="s">
        <v>167</v>
      </c>
      <c r="X8" s="1"/>
      <c r="Y8" s="2" t="s">
        <v>166</v>
      </c>
      <c r="Z8" s="2" t="s">
        <v>167</v>
      </c>
      <c r="AA8" s="1"/>
      <c r="AB8" s="2" t="s">
        <v>166</v>
      </c>
      <c r="AC8" s="2" t="s">
        <v>167</v>
      </c>
      <c r="AE8" s="2" t="s">
        <v>166</v>
      </c>
      <c r="AF8" s="2" t="s">
        <v>167</v>
      </c>
      <c r="AG8" s="1"/>
      <c r="AH8" s="2" t="s">
        <v>166</v>
      </c>
      <c r="AI8" s="2" t="s">
        <v>167</v>
      </c>
      <c r="AJ8" s="1"/>
      <c r="AK8" s="2" t="s">
        <v>166</v>
      </c>
      <c r="AL8" s="2" t="s">
        <v>167</v>
      </c>
      <c r="AM8" s="1"/>
      <c r="AN8" s="2" t="s">
        <v>166</v>
      </c>
      <c r="AO8" s="2" t="s">
        <v>167</v>
      </c>
      <c r="AP8" s="1"/>
      <c r="AQ8" s="2" t="s">
        <v>166</v>
      </c>
      <c r="AR8" s="2" t="s">
        <v>167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168</v>
      </c>
      <c r="G2" s="9" t="s">
        <v>169</v>
      </c>
    </row>
    <row r="4" spans="1:44" x14ac:dyDescent="0.2">
      <c r="A4" s="55" t="inlineStr">
        <is>
          <t>Polygon #1</t>
        </is>
      </c>
      <c r="B4" s="52"/>
      <c r="D4" s="55" t="inlineStr">
        <is>
          <t>Polygon #2</t>
        </is>
      </c>
      <c r="E4" s="52"/>
      <c r="G4" s="55" t="inlineStr">
        <is>
          <t>Polygon #3</t>
        </is>
      </c>
      <c r="H4" s="52"/>
      <c r="J4" s="55" t="s">
        <v>173</v>
      </c>
      <c r="K4" s="52"/>
      <c r="M4" s="55" t="s">
        <v>174</v>
      </c>
      <c r="N4" s="52"/>
      <c r="P4" s="55" t="s">
        <v>175</v>
      </c>
      <c r="Q4" s="54"/>
      <c r="R4" s="1"/>
      <c r="S4" s="55" t="s">
        <v>176</v>
      </c>
      <c r="T4" s="54"/>
      <c r="U4" s="1"/>
      <c r="V4" s="55" t="s">
        <v>177</v>
      </c>
      <c r="W4" s="54"/>
      <c r="X4" s="1"/>
      <c r="Y4" s="55" t="s">
        <v>178</v>
      </c>
      <c r="Z4" s="54"/>
      <c r="AA4" s="1"/>
      <c r="AB4" s="55" t="s">
        <v>179</v>
      </c>
      <c r="AC4" s="54"/>
      <c r="AE4" s="55" t="s">
        <v>180</v>
      </c>
      <c r="AF4" s="54"/>
      <c r="AG4" s="1"/>
      <c r="AH4" s="55" t="s">
        <v>181</v>
      </c>
      <c r="AI4" s="54"/>
      <c r="AJ4" s="1"/>
      <c r="AK4" s="55" t="s">
        <v>182</v>
      </c>
      <c r="AL4" s="54"/>
      <c r="AM4" s="1"/>
      <c r="AN4" s="55" t="s">
        <v>183</v>
      </c>
      <c r="AO4" s="54"/>
      <c r="AP4" s="1"/>
      <c r="AQ4" s="55" t="s">
        <v>184</v>
      </c>
      <c r="AR4" s="54"/>
    </row>
    <row r="5" spans="1:44" x14ac:dyDescent="0.2">
      <c r="A5" s="38" t="s">
        <v>185</v>
      </c>
      <c r="B5" s="39" t="inlineStr">
        <is>
          <t>material</t>
        </is>
      </c>
      <c r="D5" s="38" t="s">
        <v>185</v>
      </c>
      <c r="E5" s="39" t="inlineStr">
        <is>
          <t>material</t>
        </is>
      </c>
      <c r="G5" s="38" t="s">
        <v>185</v>
      </c>
      <c r="H5" s="39" t="inlineStr">
        <is>
          <t>material</t>
        </is>
      </c>
      <c r="J5" s="38" t="s">
        <v>185</v>
      </c>
      <c r="K5" s="39" t="s">
        <v>186</v>
      </c>
      <c r="M5" s="38" t="s">
        <v>185</v>
      </c>
      <c r="N5" s="39" t="s">
        <v>186</v>
      </c>
      <c r="P5" s="38" t="s">
        <v>185</v>
      </c>
      <c r="Q5" s="39" t="s">
        <v>186</v>
      </c>
      <c r="R5" s="1"/>
      <c r="S5" s="38" t="s">
        <v>185</v>
      </c>
      <c r="T5" s="39" t="s">
        <v>186</v>
      </c>
      <c r="U5" s="1"/>
      <c r="V5" s="38" t="s">
        <v>185</v>
      </c>
      <c r="W5" s="39" t="s">
        <v>186</v>
      </c>
      <c r="X5" s="1"/>
      <c r="Y5" s="38" t="s">
        <v>185</v>
      </c>
      <c r="Z5" s="39" t="s">
        <v>186</v>
      </c>
      <c r="AA5" s="1"/>
      <c r="AB5" s="38" t="s">
        <v>185</v>
      </c>
      <c r="AC5" s="39" t="s">
        <v>186</v>
      </c>
      <c r="AE5" s="38" t="s">
        <v>185</v>
      </c>
      <c r="AF5" s="39" t="s">
        <v>186</v>
      </c>
      <c r="AG5" s="1"/>
      <c r="AH5" s="38" t="s">
        <v>185</v>
      </c>
      <c r="AI5" s="39" t="s">
        <v>186</v>
      </c>
      <c r="AJ5" s="1"/>
      <c r="AK5" s="38" t="s">
        <v>185</v>
      </c>
      <c r="AL5" s="39" t="s">
        <v>186</v>
      </c>
      <c r="AM5" s="1"/>
      <c r="AN5" s="38" t="s">
        <v>185</v>
      </c>
      <c r="AO5" s="39" t="s">
        <v>186</v>
      </c>
      <c r="AP5" s="1"/>
      <c r="AQ5" s="38" t="s">
        <v>185</v>
      </c>
      <c r="AR5" s="39" t="s">
        <v>186</v>
      </c>
    </row>
    <row r="6" spans="1:44" x14ac:dyDescent="0.2">
      <c r="A6" s="38" t="s">
        <v>164</v>
      </c>
      <c r="B6" s="39">
        <v>1</v>
      </c>
      <c r="D6" s="38" t="s">
        <v>164</v>
      </c>
      <c r="E6" s="39">
        <v>2</v>
      </c>
      <c r="G6" s="38" t="s">
        <v>164</v>
      </c>
      <c r="H6" s="39">
        <v>3</v>
      </c>
      <c r="J6" s="38" t="s">
        <v>164</v>
      </c>
      <c r="K6" s="39">
        <v>4</v>
      </c>
      <c r="M6" s="38" t="s">
        <v>164</v>
      </c>
      <c r="N6" s="39">
        <v>5</v>
      </c>
      <c r="P6" s="38" t="s">
        <v>164</v>
      </c>
      <c r="Q6" s="39">
        <v>6</v>
      </c>
      <c r="R6" s="1"/>
      <c r="S6" s="38" t="s">
        <v>164</v>
      </c>
      <c r="T6" s="39">
        <v>7</v>
      </c>
      <c r="U6" s="1"/>
      <c r="V6" s="38" t="s">
        <v>164</v>
      </c>
      <c r="W6" s="39">
        <v>8</v>
      </c>
      <c r="X6" s="1"/>
      <c r="Y6" s="38" t="s">
        <v>164</v>
      </c>
      <c r="Z6" s="39">
        <v>9</v>
      </c>
      <c r="AA6" s="1"/>
      <c r="AB6" s="38" t="s">
        <v>164</v>
      </c>
      <c r="AC6" s="39">
        <v>10</v>
      </c>
      <c r="AE6" s="38" t="s">
        <v>164</v>
      </c>
      <c r="AF6" s="39">
        <v>11</v>
      </c>
      <c r="AG6" s="1"/>
      <c r="AH6" s="38" t="s">
        <v>164</v>
      </c>
      <c r="AI6" s="39">
        <v>12</v>
      </c>
      <c r="AJ6" s="1"/>
      <c r="AK6" s="38" t="s">
        <v>164</v>
      </c>
      <c r="AL6" s="39">
        <v>13</v>
      </c>
      <c r="AM6" s="1"/>
      <c r="AN6" s="38" t="s">
        <v>164</v>
      </c>
      <c r="AO6" s="39">
        <v>14</v>
      </c>
      <c r="AP6" s="1"/>
      <c r="AQ6" s="38" t="s">
        <v>164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165</v>
      </c>
      <c r="B8" s="39"/>
      <c r="D8" s="38" t="s">
        <v>165</v>
      </c>
      <c r="E8" s="39"/>
      <c r="G8" s="38" t="s">
        <v>165</v>
      </c>
      <c r="H8" s="39"/>
      <c r="J8" s="38" t="s">
        <v>165</v>
      </c>
      <c r="K8" s="39"/>
      <c r="M8" s="38" t="s">
        <v>165</v>
      </c>
      <c r="N8" s="39"/>
      <c r="P8" s="38" t="s">
        <v>165</v>
      </c>
      <c r="Q8" s="39"/>
      <c r="R8" s="1"/>
      <c r="S8" s="38" t="s">
        <v>165</v>
      </c>
      <c r="T8" s="39"/>
      <c r="U8" s="1"/>
      <c r="V8" s="38" t="s">
        <v>165</v>
      </c>
      <c r="W8" s="39"/>
      <c r="X8" s="1"/>
      <c r="Y8" s="38" t="s">
        <v>165</v>
      </c>
      <c r="Z8" s="39"/>
      <c r="AA8" s="1"/>
      <c r="AB8" s="38" t="s">
        <v>165</v>
      </c>
      <c r="AC8" s="39"/>
      <c r="AE8" s="38" t="s">
        <v>165</v>
      </c>
      <c r="AF8" s="39"/>
      <c r="AG8" s="1"/>
      <c r="AH8" s="38" t="s">
        <v>165</v>
      </c>
      <c r="AI8" s="39"/>
      <c r="AJ8" s="1"/>
      <c r="AK8" s="38" t="s">
        <v>165</v>
      </c>
      <c r="AL8" s="39"/>
      <c r="AM8" s="1"/>
      <c r="AN8" s="38" t="s">
        <v>165</v>
      </c>
      <c r="AO8" s="39"/>
      <c r="AP8" s="1"/>
      <c r="AQ8" s="38" t="s">
        <v>165</v>
      </c>
      <c r="AR8" s="39"/>
    </row>
    <row r="9" spans="1:44" x14ac:dyDescent="0.2">
      <c r="A9" s="2" t="s">
        <v>166</v>
      </c>
      <c r="B9" s="2" t="s">
        <v>167</v>
      </c>
      <c r="D9" s="2" t="s">
        <v>166</v>
      </c>
      <c r="E9" s="2" t="s">
        <v>167</v>
      </c>
      <c r="G9" s="2" t="s">
        <v>166</v>
      </c>
      <c r="H9" s="2" t="s">
        <v>167</v>
      </c>
      <c r="J9" s="2" t="s">
        <v>166</v>
      </c>
      <c r="K9" s="2" t="s">
        <v>167</v>
      </c>
      <c r="M9" s="2" t="s">
        <v>166</v>
      </c>
      <c r="N9" s="2" t="s">
        <v>167</v>
      </c>
      <c r="P9" s="2" t="s">
        <v>166</v>
      </c>
      <c r="Q9" s="2" t="s">
        <v>167</v>
      </c>
      <c r="R9" s="1"/>
      <c r="S9" s="2" t="s">
        <v>166</v>
      </c>
      <c r="T9" s="2" t="s">
        <v>167</v>
      </c>
      <c r="U9" s="1"/>
      <c r="V9" s="2" t="s">
        <v>166</v>
      </c>
      <c r="W9" s="2" t="s">
        <v>167</v>
      </c>
      <c r="X9" s="1"/>
      <c r="Y9" s="2" t="s">
        <v>166</v>
      </c>
      <c r="Z9" s="2" t="s">
        <v>167</v>
      </c>
      <c r="AA9" s="1"/>
      <c r="AB9" s="2" t="s">
        <v>166</v>
      </c>
      <c r="AC9" s="2" t="s">
        <v>167</v>
      </c>
      <c r="AE9" s="2" t="s">
        <v>166</v>
      </c>
      <c r="AF9" s="2" t="s">
        <v>167</v>
      </c>
      <c r="AG9" s="1"/>
      <c r="AH9" s="2" t="s">
        <v>166</v>
      </c>
      <c r="AI9" s="2" t="s">
        <v>167</v>
      </c>
      <c r="AJ9" s="1"/>
      <c r="AK9" s="2" t="s">
        <v>166</v>
      </c>
      <c r="AL9" s="2" t="s">
        <v>167</v>
      </c>
      <c r="AM9" s="1"/>
      <c r="AN9" s="2" t="s">
        <v>166</v>
      </c>
      <c r="AO9" s="2" t="s">
        <v>167</v>
      </c>
      <c r="AP9" s="1"/>
      <c r="AQ9" s="2" t="s">
        <v>166</v>
      </c>
      <c r="AR9" s="2" t="s">
        <v>167</v>
      </c>
    </row>
    <row r="10" spans="1:44" x14ac:dyDescent="0.2">
      <c r="A10" s="3">
        <v>0.0</v>
      </c>
      <c r="B10" s="3">
        <v>0.0</v>
      </c>
      <c r="D10" s="3">
        <v>18.0</v>
      </c>
      <c r="E10" s="3">
        <v>0.0</v>
      </c>
      <c r="G10" s="3">
        <v>-55.0</v>
      </c>
      <c r="H10" s="3">
        <v>2.0</v>
      </c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18.0</v>
      </c>
      <c r="B11" s="3">
        <v>0.0</v>
      </c>
      <c r="D11" s="3">
        <v>75.0</v>
      </c>
      <c r="E11" s="3">
        <v>0.0</v>
      </c>
      <c r="G11" s="3">
        <v>0.0</v>
      </c>
      <c r="H11" s="3">
        <v>2.0</v>
      </c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18.0</v>
      </c>
      <c r="B12" s="3">
        <v>25.64</v>
      </c>
      <c r="D12" s="3">
        <v>75.0</v>
      </c>
      <c r="E12" s="3">
        <v>25.64</v>
      </c>
      <c r="G12" s="3">
        <v>0.0</v>
      </c>
      <c r="H12" s="3">
        <v>0.0</v>
      </c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0.0</v>
      </c>
      <c r="B13" s="3">
        <v>25.64</v>
      </c>
      <c r="D13" s="3">
        <v>18.0</v>
      </c>
      <c r="E13" s="3">
        <v>25.64</v>
      </c>
      <c r="G13" s="3">
        <v>75.0</v>
      </c>
      <c r="H13" s="3">
        <v>0.0</v>
      </c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>
        <v>75.0</v>
      </c>
      <c r="H14" s="3">
        <v>-22.0</v>
      </c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>
        <v>-55.0</v>
      </c>
      <c r="H15" s="3">
        <v>-22.0</v>
      </c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  <mergeCell ref="P7:Q7"/>
    <mergeCell ref="AB7:AC7"/>
    <mergeCell ref="A7:B7"/>
    <mergeCell ref="G7:H7"/>
    <mergeCell ref="S7:T7"/>
    <mergeCell ref="M7:N7"/>
    <mergeCell ref="A4:B4"/>
    <mergeCell ref="G4:H4"/>
    <mergeCell ref="P4:Q4"/>
    <mergeCell ref="J4:K4"/>
    <mergeCell ref="D7:E7"/>
    <mergeCell ref="J7:K7"/>
    <mergeCell ref="D4:E4"/>
    <mergeCell ref="M4:N4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187</v>
      </c>
      <c r="B2" s="54"/>
      <c r="D2" s="60" t="s">
        <v>188</v>
      </c>
      <c r="E2" s="54"/>
      <c r="G2" s="22" t="s">
        <v>189</v>
      </c>
    </row>
    <row r="3" spans="1:8" x14ac:dyDescent="0.2">
      <c r="A3" s="32" t="s">
        <v>185</v>
      </c>
      <c r="B3" s="33" t="inlineStr">
        <is>
          <t>piezo</t>
        </is>
      </c>
      <c r="D3" s="34" t="s">
        <v>185</v>
      </c>
      <c r="E3" s="35" t="inlineStr">
        <is>
          <t>piezo</t>
        </is>
      </c>
      <c r="G3" s="22"/>
    </row>
    <row r="4" spans="1:8" x14ac:dyDescent="0.2">
      <c r="A4" s="2" t="s">
        <v>166</v>
      </c>
      <c r="B4" s="2" t="s">
        <v>167</v>
      </c>
      <c r="D4" s="2" t="s">
        <v>166</v>
      </c>
      <c r="E4" s="2" t="s">
        <v>167</v>
      </c>
      <c r="G4" s="6" t="s">
        <v>190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191</v>
      </c>
    </row>
    <row r="6" spans="1:8" x14ac:dyDescent="0.2">
      <c r="A6" s="3"/>
      <c r="B6" s="3"/>
      <c r="D6" s="3"/>
      <c r="E6" s="3"/>
      <c r="G6" s="1" t="s">
        <v>192</v>
      </c>
      <c r="H6" t="s">
        <v>193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194</v>
      </c>
      <c r="B2" s="13" t="s">
        <v>195</v>
      </c>
      <c r="C2" s="13" t="s">
        <v>196</v>
      </c>
      <c r="D2" s="13" t="s">
        <v>197</v>
      </c>
      <c r="E2" s="13" t="s">
        <v>198</v>
      </c>
      <c r="F2" s="13" t="s">
        <v>199</v>
      </c>
      <c r="G2" s="13" t="s">
        <v>200</v>
      </c>
      <c r="H2" s="13" t="s">
        <v>201</v>
      </c>
      <c r="J2" s="5" t="s">
        <v>202</v>
      </c>
      <c r="K2" s="10" t="s">
        <v>5</v>
      </c>
    </row>
    <row r="3" spans="1:14" x14ac:dyDescent="0.2">
      <c r="A3" s="3">
        <v>1</v>
      </c>
      <c r="B3" s="3">
        <v>9.0</v>
      </c>
      <c r="C3" s="3">
        <v>32.05</v>
      </c>
      <c r="D3" s="3" t="inlineStr">
        <is>
          <t>Depth</t>
        </is>
      </c>
      <c r="E3" s="3">
        <v>2.0</v>
      </c>
      <c r="F3" s="3"/>
      <c r="G3" s="3"/>
      <c r="H3" s="3"/>
      <c r="J3" s="1" t="s">
        <v>198</v>
      </c>
      <c r="K3" s="9" t="s">
        <v>203</v>
      </c>
    </row>
    <row r="4" spans="1:14" x14ac:dyDescent="0.2">
      <c r="A4" s="3">
        <v>2</v>
      </c>
      <c r="B4" s="3">
        <v>9.0</v>
      </c>
      <c r="C4" s="3">
        <v>32.05</v>
      </c>
      <c r="D4" s="3" t="inlineStr">
        <is>
          <t>Depth</t>
        </is>
      </c>
      <c r="E4" s="3">
        <v>0.0</v>
      </c>
      <c r="F4" s="3"/>
      <c r="G4" s="3"/>
      <c r="H4" s="3"/>
      <c r="J4" s="1" t="s">
        <v>204</v>
      </c>
      <c r="K4" s="9" t="s">
        <v>205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206</v>
      </c>
      <c r="K5" t="s">
        <v>207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208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209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210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211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212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213</v>
      </c>
      <c r="K12"/>
    </row>
    <row r="13" spans="1:14" x14ac:dyDescent="0.2">
      <c r="J13" s="14" t="s">
        <v>214</v>
      </c>
      <c r="K13"/>
    </row>
    <row r="14" spans="1:14" x14ac:dyDescent="0.2">
      <c r="J14" s="14" t="s">
        <v>215</v>
      </c>
      <c r="K14"/>
    </row>
    <row r="15" spans="1:14" x14ac:dyDescent="0.2">
      <c r="J15" s="14" t="s">
        <v>216</v>
      </c>
      <c r="K15"/>
    </row>
    <row r="16" spans="1:14" x14ac:dyDescent="0.2">
      <c r="J16" s="14" t="s">
        <v>217</v>
      </c>
      <c r="K16" s="1"/>
      <c r="L16" s="1"/>
      <c r="M16" s="1"/>
      <c r="N16" s="1"/>
    </row>
    <row r="17" spans="10:10" x14ac:dyDescent="0.2">
      <c r="J17" s="14" t="s">
        <v>218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219</v>
      </c>
      <c r="B2" s="11" t="s">
        <v>220</v>
      </c>
      <c r="C2" s="12" t="s">
        <v>221</v>
      </c>
      <c r="E2" s="6" t="s">
        <v>202</v>
      </c>
      <c r="F2" s="6" t="s">
        <v>5</v>
      </c>
    </row>
    <row r="3" spans="1:6" x14ac:dyDescent="0.2">
      <c r="A3" s="3"/>
      <c r="B3" s="3"/>
      <c r="C3" s="3"/>
      <c r="E3" t="s">
        <v>222</v>
      </c>
      <c r="F3" t="s">
        <v>223</v>
      </c>
    </row>
    <row r="4" spans="1:6" x14ac:dyDescent="0.2">
      <c r="A4" s="3"/>
      <c r="B4" s="3"/>
      <c r="C4" s="3"/>
      <c r="E4" t="s">
        <v>224</v>
      </c>
      <c r="F4" t="s">
        <v>225</v>
      </c>
    </row>
    <row r="5" spans="1:6" x14ac:dyDescent="0.2">
      <c r="A5" s="3"/>
      <c r="B5" s="3"/>
      <c r="C5" s="3"/>
      <c r="E5" t="s">
        <v>226</v>
      </c>
      <c r="F5" t="s">
        <v>227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228</v>
      </c>
      <c r="C4" s="62"/>
      <c r="D4" s="62"/>
      <c r="F4" s="61" t="s">
        <v>229</v>
      </c>
      <c r="G4" s="62"/>
      <c r="H4" s="62"/>
      <c r="J4" s="61" t="s">
        <v>230</v>
      </c>
      <c r="K4" s="62"/>
      <c r="L4" s="62"/>
      <c r="N4" s="61" t="s">
        <v>231</v>
      </c>
      <c r="O4" s="62"/>
      <c r="P4" s="62"/>
      <c r="R4" s="61" t="s">
        <v>232</v>
      </c>
      <c r="S4" s="62"/>
      <c r="T4" s="62"/>
      <c r="V4" s="61" t="s">
        <v>233</v>
      </c>
      <c r="W4" s="62"/>
      <c r="X4" s="62"/>
    </row>
    <row r="5" spans="2:24" x14ac:dyDescent="0.2">
      <c r="B5" s="58" t="s">
        <v>234</v>
      </c>
      <c r="C5" s="57"/>
      <c r="D5" s="39"/>
      <c r="F5" s="58" t="s">
        <v>234</v>
      </c>
      <c r="G5" s="57"/>
      <c r="H5" s="39"/>
      <c r="J5" s="58" t="s">
        <v>234</v>
      </c>
      <c r="K5" s="57"/>
      <c r="L5" s="39"/>
      <c r="N5" s="58" t="s">
        <v>234</v>
      </c>
      <c r="O5" s="57"/>
      <c r="P5" s="39"/>
      <c r="R5" s="58" t="s">
        <v>234</v>
      </c>
      <c r="S5" s="57"/>
      <c r="T5" s="39"/>
      <c r="V5" s="58" t="s">
        <v>234</v>
      </c>
      <c r="W5" s="57"/>
      <c r="X5" s="39"/>
    </row>
    <row r="6" spans="2:24" x14ac:dyDescent="0.2">
      <c r="B6" s="2" t="s">
        <v>219</v>
      </c>
      <c r="C6" s="2" t="s">
        <v>220</v>
      </c>
      <c r="D6" s="2" t="s">
        <v>235</v>
      </c>
      <c r="F6" s="2" t="s">
        <v>219</v>
      </c>
      <c r="G6" s="2" t="s">
        <v>220</v>
      </c>
      <c r="H6" s="2" t="s">
        <v>235</v>
      </c>
      <c r="J6" s="2" t="s">
        <v>219</v>
      </c>
      <c r="K6" s="2" t="s">
        <v>220</v>
      </c>
      <c r="L6" s="2" t="s">
        <v>235</v>
      </c>
      <c r="N6" s="2" t="s">
        <v>219</v>
      </c>
      <c r="O6" s="2" t="s">
        <v>220</v>
      </c>
      <c r="P6" s="2" t="s">
        <v>235</v>
      </c>
      <c r="R6" s="2" t="s">
        <v>219</v>
      </c>
      <c r="S6" s="2" t="s">
        <v>220</v>
      </c>
      <c r="T6" s="2" t="s">
        <v>235</v>
      </c>
      <c r="V6" s="2" t="s">
        <v>219</v>
      </c>
      <c r="W6" s="2" t="s">
        <v>220</v>
      </c>
      <c r="X6" s="2" t="s">
        <v>235</v>
      </c>
    </row>
    <row r="7" spans="2:24" x14ac:dyDescent="0.2">
      <c r="B7" s="3">
        <v>0.0</v>
      </c>
      <c r="C7" s="3">
        <v>25.64</v>
      </c>
      <c r="D7" s="3">
        <v>250.0</v>
      </c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>
        <v>75.0</v>
      </c>
      <c r="C8" s="3">
        <v>25.64</v>
      </c>
      <c r="D8" s="3">
        <v>250.0</v>
      </c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236</v>
      </c>
      <c r="C4" s="62"/>
      <c r="D4" s="62"/>
      <c r="F4" s="63" t="s">
        <v>237</v>
      </c>
      <c r="G4" s="62"/>
      <c r="H4" s="62"/>
      <c r="J4" s="63" t="s">
        <v>238</v>
      </c>
      <c r="K4" s="62"/>
      <c r="L4" s="62"/>
      <c r="N4" s="63" t="s">
        <v>239</v>
      </c>
      <c r="O4" s="62"/>
      <c r="P4" s="62"/>
      <c r="R4" s="63" t="s">
        <v>240</v>
      </c>
      <c r="S4" s="62"/>
      <c r="T4" s="62"/>
      <c r="V4" s="63" t="s">
        <v>241</v>
      </c>
      <c r="W4" s="62"/>
      <c r="X4" s="62"/>
    </row>
    <row r="5" spans="2:24" x14ac:dyDescent="0.2">
      <c r="B5" s="58" t="s">
        <v>234</v>
      </c>
      <c r="C5" s="57"/>
      <c r="D5" s="39"/>
      <c r="F5" s="58" t="s">
        <v>234</v>
      </c>
      <c r="G5" s="57"/>
      <c r="H5" s="39"/>
      <c r="J5" s="58" t="s">
        <v>234</v>
      </c>
      <c r="K5" s="57"/>
      <c r="L5" s="39"/>
      <c r="N5" s="58" t="s">
        <v>234</v>
      </c>
      <c r="O5" s="57"/>
      <c r="P5" s="39"/>
      <c r="R5" s="58" t="s">
        <v>234</v>
      </c>
      <c r="S5" s="57"/>
      <c r="T5" s="39"/>
      <c r="V5" s="58" t="s">
        <v>234</v>
      </c>
      <c r="W5" s="57"/>
      <c r="X5" s="39"/>
    </row>
    <row r="6" spans="2:24" x14ac:dyDescent="0.2">
      <c r="B6" s="2" t="s">
        <v>219</v>
      </c>
      <c r="C6" s="2" t="s">
        <v>220</v>
      </c>
      <c r="D6" s="2" t="s">
        <v>235</v>
      </c>
      <c r="F6" s="2" t="s">
        <v>219</v>
      </c>
      <c r="G6" s="2" t="s">
        <v>220</v>
      </c>
      <c r="H6" s="2" t="s">
        <v>235</v>
      </c>
      <c r="J6" s="2" t="s">
        <v>219</v>
      </c>
      <c r="K6" s="2" t="s">
        <v>220</v>
      </c>
      <c r="L6" s="2" t="s">
        <v>235</v>
      </c>
      <c r="N6" s="2" t="s">
        <v>219</v>
      </c>
      <c r="O6" s="2" t="s">
        <v>220</v>
      </c>
      <c r="P6" s="2" t="s">
        <v>235</v>
      </c>
      <c r="R6" s="2" t="s">
        <v>219</v>
      </c>
      <c r="S6" s="2" t="s">
        <v>220</v>
      </c>
      <c r="T6" s="2" t="s">
        <v>235</v>
      </c>
      <c r="V6" s="2" t="s">
        <v>219</v>
      </c>
      <c r="W6" s="2" t="s">
        <v>220</v>
      </c>
      <c r="X6" s="2" t="s">
        <v>235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D25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0" width="10.83203125" style="1" customWidth="1"/>
    <col min="21" max="21" width="4.33203125" customWidth="1"/>
  </cols>
  <sheetData>
    <row r="2" spans="1:30" x14ac:dyDescent="0.2">
      <c r="A2" s="12" t="s">
        <v>194</v>
      </c>
      <c r="B2" s="12" t="s">
        <v>242</v>
      </c>
      <c r="C2" s="12" t="s">
        <v>243</v>
      </c>
      <c r="D2" s="12" t="s">
        <v>244</v>
      </c>
      <c r="E2" s="12" t="s">
        <v>245</v>
      </c>
      <c r="F2" s="12" t="s">
        <v>246</v>
      </c>
      <c r="G2" s="40" t="s">
        <v>247</v>
      </c>
      <c r="H2" s="40" t="s">
        <v>248</v>
      </c>
      <c r="I2" s="40" t="s">
        <v>249</v>
      </c>
      <c r="J2" s="27" t="s">
        <v>250</v>
      </c>
      <c r="K2" s="27" t="s">
        <v>251</v>
      </c>
      <c r="L2" s="27" t="s">
        <v>252</v>
      </c>
      <c r="M2" s="27" t="s">
        <v>311</v>
      </c>
      <c r="N2" s="27" t="s">
        <v>312</v>
      </c>
      <c r="O2" s="27" t="s">
        <v>253</v>
      </c>
      <c r="P2" s="27" t="s">
        <v>254</v>
      </c>
      <c r="Q2" s="27" t="s">
        <v>255</v>
      </c>
      <c r="R2" s="28" t="s">
        <v>256</v>
      </c>
      <c r="S2" s="28" t="s">
        <v>122</v>
      </c>
      <c r="T2" s="28" t="s">
        <v>257</v>
      </c>
      <c r="AB2" t="s">
        <v>258</v>
      </c>
      <c r="AC2" t="s">
        <v>259</v>
      </c>
      <c r="AD2" t="s">
        <v>260</v>
      </c>
    </row>
    <row r="3" spans="1:30" x14ac:dyDescent="0.2">
      <c r="A3" s="3">
        <v>1</v>
      </c>
      <c r="B3" s="3" t="inlineStr">
        <is>
          <t>Level 1 (4W)</t>
        </is>
      </c>
      <c r="C3" s="3">
        <v>0.0</v>
      </c>
      <c r="D3" s="3">
        <v>23.77</v>
      </c>
      <c r="E3" s="3">
        <v>18.0</v>
      </c>
      <c r="F3" s="3">
        <v>23.77</v>
      </c>
      <c r="G3" s="3"/>
      <c r="H3" s="3" t="inlineStr">
        <is>
          <t>Axial</t>
        </is>
      </c>
      <c r="I3" s="3" t="str">
        <f t="shared" ref="I3:I22" si="1">IF($G3="","",IFERROR(VLOOKUP($G3,$AB$8:$AD$11,3,0),""))</f>
        <v/>
      </c>
      <c r="J3" s="3">
        <v>20680.0</v>
      </c>
      <c r="K3" s="3">
        <v>0.0</v>
      </c>
      <c r="L3" s="3">
        <v>0.0</v>
      </c>
      <c r="M3" s="3">
        <v>0.0</v>
      </c>
      <c r="N3" s="3">
        <v>54.9519131928</v>
      </c>
      <c r="O3" s="3">
        <v>20680.0</v>
      </c>
      <c r="P3" s="3">
        <v>0.0</v>
      </c>
      <c r="Q3" s="3">
        <v>5.0</v>
      </c>
      <c r="R3" s="3"/>
      <c r="S3" s="3">
        <v>0.0</v>
      </c>
      <c r="T3" s="3">
        <v>0.0</v>
      </c>
      <c r="AB3" t="s">
        <v>261</v>
      </c>
      <c r="AC3" t="s">
        <v>262</v>
      </c>
      <c r="AD3" t="s">
        <v>263</v>
      </c>
    </row>
    <row r="4" spans="1:30" x14ac:dyDescent="0.2">
      <c r="A4" s="3">
        <v>2</v>
      </c>
      <c r="B4" s="3" t="inlineStr">
        <is>
          <t>Level 2 (3W)</t>
        </is>
      </c>
      <c r="C4" s="3">
        <v>0.0</v>
      </c>
      <c r="D4" s="3">
        <v>21.27</v>
      </c>
      <c r="E4" s="3">
        <v>18.0</v>
      </c>
      <c r="F4" s="3">
        <v>21.27</v>
      </c>
      <c r="G4" s="3"/>
      <c r="H4" s="3" t="inlineStr">
        <is>
          <t>Axial</t>
        </is>
      </c>
      <c r="I4" s="3" t="str">
        <f t="shared" si="1"/>
        <v/>
      </c>
      <c r="J4" s="3">
        <v>15510.0</v>
      </c>
      <c r="K4" s="3">
        <v>0.0</v>
      </c>
      <c r="L4" s="3">
        <v>0.0</v>
      </c>
      <c r="M4" s="3">
        <v>0.0</v>
      </c>
      <c r="N4" s="3">
        <v>41.6050764579</v>
      </c>
      <c r="O4" s="3">
        <v>15510.0</v>
      </c>
      <c r="P4" s="3">
        <v>0.0</v>
      </c>
      <c r="Q4" s="3">
        <v>5.0</v>
      </c>
      <c r="R4" s="3"/>
      <c r="S4" s="3">
        <v>0.0</v>
      </c>
      <c r="T4" s="3">
        <v>0.0</v>
      </c>
      <c r="AB4" t="s">
        <v>264</v>
      </c>
    </row>
    <row r="5" spans="1:30" x14ac:dyDescent="0.2">
      <c r="A5" s="3">
        <v>3</v>
      </c>
      <c r="B5" s="3" t="inlineStr">
        <is>
          <t>Level 3 (4W)</t>
        </is>
      </c>
      <c r="C5" s="3">
        <v>0.0</v>
      </c>
      <c r="D5" s="3">
        <v>18.77</v>
      </c>
      <c r="E5" s="3">
        <v>18.0</v>
      </c>
      <c r="F5" s="3">
        <v>18.77</v>
      </c>
      <c r="G5" s="3"/>
      <c r="H5" s="3" t="inlineStr">
        <is>
          <t>Axial</t>
        </is>
      </c>
      <c r="I5" s="3" t="str">
        <f t="shared" si="1"/>
        <v/>
      </c>
      <c r="J5" s="3">
        <v>20680.0</v>
      </c>
      <c r="K5" s="3">
        <v>0.0</v>
      </c>
      <c r="L5" s="3">
        <v>0.0</v>
      </c>
      <c r="M5" s="3">
        <v>0.0</v>
      </c>
      <c r="N5" s="3">
        <v>51.1064703096</v>
      </c>
      <c r="O5" s="3">
        <v>20680.0</v>
      </c>
      <c r="P5" s="3">
        <v>0.0</v>
      </c>
      <c r="Q5" s="3">
        <v>5.0</v>
      </c>
      <c r="R5" s="3"/>
      <c r="S5" s="3">
        <v>0.0</v>
      </c>
      <c r="T5" s="3">
        <v>0.0</v>
      </c>
      <c r="AB5" t="s">
        <v>265</v>
      </c>
    </row>
    <row r="6" spans="1:30" x14ac:dyDescent="0.2">
      <c r="A6" s="3">
        <v>4</v>
      </c>
      <c r="B6" s="3" t="inlineStr">
        <is>
          <t>Level 4 (4W)</t>
        </is>
      </c>
      <c r="C6" s="3">
        <v>0.0</v>
      </c>
      <c r="D6" s="3">
        <v>16.27</v>
      </c>
      <c r="E6" s="3">
        <v>18.0</v>
      </c>
      <c r="F6" s="3">
        <v>16.27</v>
      </c>
      <c r="G6" s="3"/>
      <c r="H6" s="3" t="inlineStr">
        <is>
          <t>Axial</t>
        </is>
      </c>
      <c r="I6" s="3" t="str">
        <f t="shared" si="1"/>
        <v/>
      </c>
      <c r="J6" s="3">
        <v>20680.0</v>
      </c>
      <c r="K6" s="3">
        <v>0.0</v>
      </c>
      <c r="L6" s="3">
        <v>0.0</v>
      </c>
      <c r="M6" s="3">
        <v>0.0</v>
      </c>
      <c r="N6" s="3">
        <v>48.8920378706</v>
      </c>
      <c r="O6" s="3">
        <v>20680.0</v>
      </c>
      <c r="P6" s="3">
        <v>0.0</v>
      </c>
      <c r="Q6" s="3">
        <v>5.0</v>
      </c>
      <c r="R6" s="3"/>
      <c r="S6" s="3">
        <v>0.0</v>
      </c>
      <c r="T6" s="3">
        <v>0.0</v>
      </c>
    </row>
    <row r="7" spans="1:30" x14ac:dyDescent="0.2">
      <c r="A7" s="3">
        <v>5</v>
      </c>
      <c r="B7" s="3" t="inlineStr">
        <is>
          <t>Level 5 (4W)</t>
        </is>
      </c>
      <c r="C7" s="3">
        <v>0.0</v>
      </c>
      <c r="D7" s="3">
        <v>13.77</v>
      </c>
      <c r="E7" s="3">
        <v>18.0</v>
      </c>
      <c r="F7" s="3">
        <v>13.77</v>
      </c>
      <c r="G7" s="3"/>
      <c r="H7" s="3" t="inlineStr">
        <is>
          <t>Axial</t>
        </is>
      </c>
      <c r="I7" s="3" t="str">
        <f t="shared" si="1"/>
        <v/>
      </c>
      <c r="J7" s="3">
        <v>29680.0</v>
      </c>
      <c r="K7" s="3">
        <v>0.0</v>
      </c>
      <c r="L7" s="3">
        <v>0.0</v>
      </c>
      <c r="M7" s="3">
        <v>0.0</v>
      </c>
      <c r="N7" s="3">
        <v>27.7264156621</v>
      </c>
      <c r="O7" s="3">
        <v>29680.0</v>
      </c>
      <c r="P7" s="3">
        <v>0.0</v>
      </c>
      <c r="Q7" s="3">
        <v>5.0</v>
      </c>
      <c r="R7" s="3"/>
      <c r="S7" s="3">
        <v>0.0</v>
      </c>
      <c r="T7" s="3">
        <v>0.0</v>
      </c>
    </row>
    <row r="8" spans="1:30" x14ac:dyDescent="0.2">
      <c r="A8" s="3">
        <v>6</v>
      </c>
      <c r="B8" s="3" t="inlineStr">
        <is>
          <t>Level 6 (4W)</t>
        </is>
      </c>
      <c r="C8" s="3">
        <v>0.0</v>
      </c>
      <c r="D8" s="3">
        <v>11.27</v>
      </c>
      <c r="E8" s="3">
        <v>18.0</v>
      </c>
      <c r="F8" s="3">
        <v>11.27</v>
      </c>
      <c r="G8" s="3"/>
      <c r="H8" s="3" t="inlineStr">
        <is>
          <t>Axial</t>
        </is>
      </c>
      <c r="I8" s="3" t="str">
        <f t="shared" si="1"/>
        <v/>
      </c>
      <c r="J8" s="3">
        <v>29680.0</v>
      </c>
      <c r="K8" s="3">
        <v>0.0</v>
      </c>
      <c r="L8" s="3">
        <v>0.0</v>
      </c>
      <c r="M8" s="3">
        <v>0.0</v>
      </c>
      <c r="N8" s="3">
        <v>25.585099521</v>
      </c>
      <c r="O8" s="3">
        <v>29680.0</v>
      </c>
      <c r="P8" s="3">
        <v>0.0</v>
      </c>
      <c r="Q8" s="3">
        <v>5.0</v>
      </c>
      <c r="R8" s="3"/>
      <c r="S8" s="3">
        <v>0.0</v>
      </c>
      <c r="T8" s="3">
        <v>0.0</v>
      </c>
      <c r="AB8" t="s">
        <v>258</v>
      </c>
      <c r="AC8" t="s">
        <v>259</v>
      </c>
      <c r="AD8" t="s">
        <v>260</v>
      </c>
    </row>
    <row r="9" spans="1:30" x14ac:dyDescent="0.2">
      <c r="A9" s="3">
        <v>7</v>
      </c>
      <c r="B9" s="3" t="inlineStr">
        <is>
          <t>Level 7 (4W)</t>
        </is>
      </c>
      <c r="C9" s="3">
        <v>0.0</v>
      </c>
      <c r="D9" s="3">
        <v>8.77</v>
      </c>
      <c r="E9" s="3">
        <v>18.0</v>
      </c>
      <c r="F9" s="3">
        <v>8.77</v>
      </c>
      <c r="G9" s="3"/>
      <c r="H9" s="3" t="inlineStr">
        <is>
          <t>Axial</t>
        </is>
      </c>
      <c r="I9" s="3" t="str">
        <f t="shared" si="1"/>
        <v/>
      </c>
      <c r="J9" s="3">
        <v>29680.0</v>
      </c>
      <c r="K9" s="3">
        <v>0.0</v>
      </c>
      <c r="L9" s="3">
        <v>0.0</v>
      </c>
      <c r="M9" s="3">
        <v>0.0</v>
      </c>
      <c r="N9" s="3">
        <v>23.3643444761</v>
      </c>
      <c r="O9" s="3">
        <v>29680.0</v>
      </c>
      <c r="P9" s="3">
        <v>0.0</v>
      </c>
      <c r="Q9" s="3">
        <v>5.0</v>
      </c>
      <c r="R9" s="3"/>
      <c r="S9" s="3">
        <v>0.0</v>
      </c>
      <c r="T9" s="3">
        <v>0.0</v>
      </c>
      <c r="AB9" t="s">
        <v>261</v>
      </c>
      <c r="AC9" t="s">
        <v>262</v>
      </c>
      <c r="AD9" t="s">
        <v>263</v>
      </c>
    </row>
    <row r="10" spans="1:30" x14ac:dyDescent="0.2">
      <c r="A10" s="3">
        <v>8</v>
      </c>
      <c r="B10" s="3" t="inlineStr">
        <is>
          <t>Level 8 (4W)</t>
        </is>
      </c>
      <c r="C10" s="3">
        <v>0.0</v>
      </c>
      <c r="D10" s="3">
        <v>6.27</v>
      </c>
      <c r="E10" s="3">
        <v>18.0</v>
      </c>
      <c r="F10" s="3">
        <v>6.27</v>
      </c>
      <c r="G10" s="3"/>
      <c r="H10" s="3" t="inlineStr">
        <is>
          <t>Axial</t>
        </is>
      </c>
      <c r="I10" s="3" t="str">
        <f t="shared" si="1"/>
        <v/>
      </c>
      <c r="J10" s="3">
        <v>29680.0</v>
      </c>
      <c r="K10" s="3">
        <v>0.0</v>
      </c>
      <c r="L10" s="3">
        <v>0.0</v>
      </c>
      <c r="M10" s="3">
        <v>0.0</v>
      </c>
      <c r="N10" s="3">
        <v>14.4023457028</v>
      </c>
      <c r="O10" s="3">
        <v>29680.0</v>
      </c>
      <c r="P10" s="3">
        <v>0.0</v>
      </c>
      <c r="Q10" s="3">
        <v>5.0</v>
      </c>
      <c r="R10" s="3"/>
      <c r="S10" s="3">
        <v>0.0</v>
      </c>
      <c r="T10" s="3">
        <v>0.0</v>
      </c>
      <c r="AB10" t="s">
        <v>264</v>
      </c>
      <c r="AC10" t="s">
        <v>262</v>
      </c>
      <c r="AD10" t="s">
        <v>260</v>
      </c>
    </row>
    <row r="11" spans="1:30" x14ac:dyDescent="0.2">
      <c r="A11" s="3">
        <v>9</v>
      </c>
      <c r="B11" s="3" t="inlineStr">
        <is>
          <t>Level 9 (4W)</t>
        </is>
      </c>
      <c r="C11" s="3">
        <v>0.0</v>
      </c>
      <c r="D11" s="3">
        <v>3.77</v>
      </c>
      <c r="E11" s="3">
        <v>18.0</v>
      </c>
      <c r="F11" s="3">
        <v>3.77</v>
      </c>
      <c r="G11" s="3"/>
      <c r="H11" s="3" t="inlineStr">
        <is>
          <t>Axial</t>
        </is>
      </c>
      <c r="I11" s="3" t="str">
        <f t="shared" si="1"/>
        <v/>
      </c>
      <c r="J11" s="3">
        <v>29680.0</v>
      </c>
      <c r="K11" s="3">
        <v>0.0</v>
      </c>
      <c r="L11" s="3">
        <v>0.0</v>
      </c>
      <c r="M11" s="3">
        <v>0.0</v>
      </c>
      <c r="N11" s="3">
        <v>14.0146712628</v>
      </c>
      <c r="O11" s="3">
        <v>29680.0</v>
      </c>
      <c r="P11" s="3">
        <v>0.0</v>
      </c>
      <c r="Q11" s="3">
        <v>5.0</v>
      </c>
      <c r="R11" s="3"/>
      <c r="S11" s="3">
        <v>0.0</v>
      </c>
      <c r="T11" s="3">
        <v>0.0</v>
      </c>
      <c r="AB11" t="s">
        <v>265</v>
      </c>
      <c r="AC11" t="s">
        <v>262</v>
      </c>
      <c r="AD11" t="s">
        <v>260</v>
      </c>
    </row>
    <row r="12" spans="1:30" x14ac:dyDescent="0.2">
      <c r="A12" s="3">
        <v>10</v>
      </c>
      <c r="B12" s="3" t="inlineStr">
        <is>
          <t>Level 10 (4W)</t>
        </is>
      </c>
      <c r="C12" s="3">
        <v>0.0</v>
      </c>
      <c r="D12" s="3">
        <v>1.27</v>
      </c>
      <c r="E12" s="3">
        <v>18.0</v>
      </c>
      <c r="F12" s="3">
        <v>1.27</v>
      </c>
      <c r="G12" s="3"/>
      <c r="H12" s="3" t="inlineStr">
        <is>
          <t>Axial</t>
        </is>
      </c>
      <c r="I12" s="3" t="str">
        <f t="shared" si="1"/>
        <v/>
      </c>
      <c r="J12" s="3">
        <v>29680.0</v>
      </c>
      <c r="K12" s="3">
        <v>0.0</v>
      </c>
      <c r="L12" s="3">
        <v>0.0</v>
      </c>
      <c r="M12" s="3">
        <v>0.0</v>
      </c>
      <c r="N12" s="3">
        <v>14.0146712628</v>
      </c>
      <c r="O12" s="3">
        <v>29680.0</v>
      </c>
      <c r="P12" s="3">
        <v>0.0</v>
      </c>
      <c r="Q12" s="3">
        <v>5.0</v>
      </c>
      <c r="R12" s="3"/>
      <c r="S12" s="3">
        <v>0.0</v>
      </c>
      <c r="T12" s="3">
        <v>0.0</v>
      </c>
    </row>
    <row r="13" spans="1:30" x14ac:dyDescent="0.2">
      <c r="A13" s="3">
        <v>11</v>
      </c>
      <c r="B13" s="3"/>
      <c r="C13" s="3"/>
      <c r="D13" s="3"/>
      <c r="E13" s="3"/>
      <c r="F13" s="3"/>
      <c r="G13" s="3"/>
      <c r="H13" s="3" t="str">
        <f>IF($G13="","",IFERROR(VLOOKUP($G13,$AB$8:$AD$11,2,0),""))</f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30" x14ac:dyDescent="0.2">
      <c r="A14" s="3">
        <v>12</v>
      </c>
      <c r="B14" s="3"/>
      <c r="C14" s="3"/>
      <c r="D14" s="3"/>
      <c r="E14" s="3"/>
      <c r="F14" s="3"/>
      <c r="G14" s="3"/>
      <c r="H14" s="3" t="str">
        <f>IF($G14="","",IFERROR(VLOOKUP($G14,$AB$8:$AD$11,2,0),""))</f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30" x14ac:dyDescent="0.2">
      <c r="A15" s="3">
        <v>13</v>
      </c>
      <c r="B15" s="3"/>
      <c r="C15" s="3"/>
      <c r="D15" s="3"/>
      <c r="E15" s="3"/>
      <c r="F15" s="3"/>
      <c r="G15" s="3"/>
      <c r="H15" s="3" t="str">
        <f>IF($G15="","",IFERROR(VLOOKUP($G15,$AB$8:$AD$11,2,0),""))</f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30" x14ac:dyDescent="0.2">
      <c r="A16" s="3">
        <v>14</v>
      </c>
      <c r="B16" s="3"/>
      <c r="C16" s="3"/>
      <c r="D16" s="3"/>
      <c r="E16" s="3"/>
      <c r="F16" s="3"/>
      <c r="G16" s="3"/>
      <c r="H16" s="3" t="str">
        <f>IF($G16="","",IFERROR(VLOOKUP($G16,$AB$8:$AD$11,2,0),""))</f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3" x14ac:dyDescent="0.2">
      <c r="A17" s="3">
        <v>15</v>
      </c>
      <c r="B17" s="3"/>
      <c r="C17" s="3"/>
      <c r="D17" s="3"/>
      <c r="E17" s="3"/>
      <c r="F17" s="3"/>
      <c r="G17" s="3"/>
      <c r="H17" s="3" t="str">
        <f>IF($G17="","",IFERROR(VLOOKUP($G17,$AB$8:$AD$11,2,0),""))</f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3" x14ac:dyDescent="0.2">
      <c r="A18" s="3">
        <v>16</v>
      </c>
      <c r="B18" s="3"/>
      <c r="C18" s="3"/>
      <c r="D18" s="3"/>
      <c r="E18" s="3"/>
      <c r="F18" s="3"/>
      <c r="G18" s="3"/>
      <c r="H18" s="3" t="str">
        <f>IF($G18="","",IFERROR(VLOOKUP($G18,$AB$8:$AD$11,2,0),""))</f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3" x14ac:dyDescent="0.2">
      <c r="A19" s="3">
        <v>17</v>
      </c>
      <c r="B19" s="3"/>
      <c r="C19" s="3"/>
      <c r="D19" s="3"/>
      <c r="E19" s="3"/>
      <c r="F19" s="3"/>
      <c r="G19" s="3"/>
      <c r="H19" s="3" t="str">
        <f>IF($G19="","",IFERROR(VLOOKUP($G19,$AB$8:$AD$11,2,0),""))</f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3" x14ac:dyDescent="0.2">
      <c r="A20" s="3">
        <v>18</v>
      </c>
      <c r="B20" s="3"/>
      <c r="C20" s="3"/>
      <c r="D20" s="3"/>
      <c r="E20" s="3"/>
      <c r="F20" s="3"/>
      <c r="G20" s="3"/>
      <c r="H20" s="3" t="str">
        <f>IF($G20="","",IFERROR(VLOOKUP($G20,$AB$8:$AD$11,2,0),""))</f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3" x14ac:dyDescent="0.2">
      <c r="A21" s="3">
        <v>19</v>
      </c>
      <c r="B21" s="3"/>
      <c r="C21" s="3"/>
      <c r="D21" s="3"/>
      <c r="E21" s="3"/>
      <c r="F21" s="3"/>
      <c r="G21" s="3"/>
      <c r="H21" s="3" t="str">
        <f>IF($G21="","",IFERROR(VLOOKUP($G21,$AB$8:$AD$11,2,0),""))</f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3" x14ac:dyDescent="0.2">
      <c r="A22" s="3">
        <v>20</v>
      </c>
      <c r="B22" s="3"/>
      <c r="C22" s="3"/>
      <c r="D22" s="3"/>
      <c r="E22" s="3"/>
      <c r="F22" s="3"/>
      <c r="G22" s="3"/>
      <c r="H22" s="3" t="str">
        <f>IF($G22="","",IFERROR(VLOOKUP($G22,$AB$8:$AD$11,2,0),""))</f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3" x14ac:dyDescent="0.2">
      <c r="V23" s="42"/>
      <c r="W23" t="s">
        <v>91</v>
      </c>
    </row>
    <row r="24" spans="1:23" x14ac:dyDescent="0.2">
      <c r="K24" s="9"/>
      <c r="L24" s="9"/>
      <c r="V24" s="26"/>
      <c r="W24" s="9" t="s">
        <v>97</v>
      </c>
    </row>
    <row r="25" spans="1:23" x14ac:dyDescent="0.2">
      <c r="K25" s="9"/>
      <c r="L25" s="9"/>
      <c r="V25" s="29"/>
      <c r="W25" s="9" t="s">
        <v>104</v>
      </c>
    </row>
  </sheetData>
  <dataValidations count="3">
    <dataValidation type="list" allowBlank="1" showInputMessage="1" showErrorMessage="1" sqref="G3:G22" xr:uid="{00000000-0002-0000-0900-000000000000}">
      <formula1>$AB$2:$AB$5</formula1>
    </dataValidation>
    <dataValidation type="list" allowBlank="1" showInputMessage="1" showErrorMessage="1" sqref="H3:H22" xr:uid="{00000000-0002-0000-0900-000001000000}">
      <formula1>$AC$2:$AC$3</formula1>
    </dataValidation>
    <dataValidation type="list" allowBlank="1" showInputMessage="1" showErrorMessage="1" sqref="I3:I22" xr:uid="{00000000-0002-0000-0900-000002000000}">
      <formula1>$AD$2:$AD$3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194</v>
      </c>
      <c r="B2" s="12" t="s">
        <v>242</v>
      </c>
      <c r="C2" s="12" t="s">
        <v>243</v>
      </c>
      <c r="D2" s="12" t="s">
        <v>244</v>
      </c>
      <c r="E2" s="12" t="s">
        <v>245</v>
      </c>
      <c r="F2" s="12" t="s">
        <v>246</v>
      </c>
      <c r="G2" s="40" t="s">
        <v>266</v>
      </c>
      <c r="H2" s="40" t="s">
        <v>249</v>
      </c>
      <c r="I2" s="27" t="s">
        <v>267</v>
      </c>
      <c r="J2" s="27" t="s">
        <v>268</v>
      </c>
      <c r="K2" s="41" t="s">
        <v>269</v>
      </c>
      <c r="L2" s="41" t="s">
        <v>270</v>
      </c>
      <c r="M2" s="28" t="s">
        <v>122</v>
      </c>
      <c r="N2" s="28" t="s">
        <v>271</v>
      </c>
      <c r="O2" s="28" t="s">
        <v>257</v>
      </c>
      <c r="P2" s="28" t="s">
        <v>314</v>
      </c>
      <c r="Q2" s="28" t="s">
        <v>315</v>
      </c>
      <c r="Z2" t="s">
        <v>222</v>
      </c>
      <c r="AA2" t="s">
        <v>260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316</v>
      </c>
      <c r="AA3" t="s">
        <v>263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317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226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97</v>
      </c>
    </row>
    <row r="17" spans="19:20" x14ac:dyDescent="0.2">
      <c r="S17" s="29"/>
      <c r="T17" s="9" t="s">
        <v>104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194</v>
      </c>
      <c r="B2" s="12" t="s">
        <v>242</v>
      </c>
      <c r="C2" s="12" t="s">
        <v>166</v>
      </c>
      <c r="D2" s="12" t="s">
        <v>167</v>
      </c>
      <c r="E2" s="12" t="s">
        <v>272</v>
      </c>
      <c r="F2" s="12" t="s">
        <v>273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274</v>
      </c>
      <c r="C2" s="65"/>
      <c r="E2" s="59" t="s">
        <v>275</v>
      </c>
      <c r="F2" s="54"/>
      <c r="H2" s="59" t="s">
        <v>276</v>
      </c>
      <c r="I2" s="54"/>
      <c r="K2" s="59" t="s">
        <v>277</v>
      </c>
      <c r="L2" s="54"/>
      <c r="N2" s="59" t="s">
        <v>278</v>
      </c>
      <c r="O2" s="54"/>
      <c r="Q2" s="59" t="s">
        <v>279</v>
      </c>
      <c r="R2" s="54"/>
    </row>
    <row r="3" spans="2:21" x14ac:dyDescent="0.2">
      <c r="B3" s="66"/>
      <c r="C3" s="67"/>
      <c r="E3" s="32" t="s">
        <v>280</v>
      </c>
      <c r="F3" s="33"/>
      <c r="H3" s="32" t="s">
        <v>280</v>
      </c>
      <c r="I3" s="33"/>
      <c r="K3" s="32" t="s">
        <v>280</v>
      </c>
      <c r="L3" s="33"/>
      <c r="N3" s="32" t="s">
        <v>280</v>
      </c>
      <c r="O3" s="33"/>
      <c r="Q3" s="32" t="s">
        <v>280</v>
      </c>
      <c r="R3" s="33"/>
      <c r="T3" s="6" t="s">
        <v>281</v>
      </c>
    </row>
    <row r="4" spans="2:21" x14ac:dyDescent="0.2">
      <c r="B4" s="25" t="s">
        <v>166</v>
      </c>
      <c r="C4" s="25" t="s">
        <v>167</v>
      </c>
      <c r="E4" s="25" t="s">
        <v>166</v>
      </c>
      <c r="F4" s="25" t="s">
        <v>167</v>
      </c>
      <c r="H4" s="25" t="s">
        <v>166</v>
      </c>
      <c r="I4" s="25" t="s">
        <v>167</v>
      </c>
      <c r="K4" s="25" t="s">
        <v>166</v>
      </c>
      <c r="L4" s="25" t="s">
        <v>167</v>
      </c>
      <c r="N4" s="25" t="s">
        <v>166</v>
      </c>
      <c r="O4" s="25" t="s">
        <v>167</v>
      </c>
      <c r="Q4" s="25" t="s">
        <v>166</v>
      </c>
      <c r="R4" s="25" t="s">
        <v>167</v>
      </c>
      <c r="T4" s="1" t="s">
        <v>280</v>
      </c>
      <c r="U4" t="s">
        <v>282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283</v>
      </c>
      <c r="U5" t="s">
        <v>284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285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286</v>
      </c>
      <c r="C2" s="65"/>
      <c r="E2" s="60" t="s">
        <v>287</v>
      </c>
      <c r="F2" s="54"/>
      <c r="H2" s="60" t="s">
        <v>288</v>
      </c>
      <c r="I2" s="54"/>
      <c r="K2" s="60" t="s">
        <v>289</v>
      </c>
      <c r="L2" s="54"/>
      <c r="N2" s="60" t="s">
        <v>290</v>
      </c>
      <c r="O2" s="54"/>
      <c r="Q2" s="60" t="s">
        <v>291</v>
      </c>
      <c r="R2" s="54"/>
    </row>
    <row r="3" spans="2:21" x14ac:dyDescent="0.2">
      <c r="B3" s="66"/>
      <c r="C3" s="67"/>
      <c r="E3" s="34" t="s">
        <v>280</v>
      </c>
      <c r="F3" s="35"/>
      <c r="H3" s="34" t="s">
        <v>280</v>
      </c>
      <c r="I3" s="35"/>
      <c r="K3" s="34" t="s">
        <v>280</v>
      </c>
      <c r="L3" s="35"/>
      <c r="N3" s="34" t="s">
        <v>280</v>
      </c>
      <c r="O3" s="35"/>
      <c r="Q3" s="34" t="s">
        <v>280</v>
      </c>
      <c r="R3" s="35"/>
      <c r="T3" s="6" t="s">
        <v>281</v>
      </c>
    </row>
    <row r="4" spans="2:21" x14ac:dyDescent="0.2">
      <c r="B4" s="25" t="s">
        <v>166</v>
      </c>
      <c r="C4" s="25" t="s">
        <v>167</v>
      </c>
      <c r="E4" s="25" t="s">
        <v>166</v>
      </c>
      <c r="F4" s="25" t="s">
        <v>167</v>
      </c>
      <c r="H4" s="25" t="s">
        <v>166</v>
      </c>
      <c r="I4" s="25" t="s">
        <v>167</v>
      </c>
      <c r="K4" s="25" t="s">
        <v>166</v>
      </c>
      <c r="L4" s="25" t="s">
        <v>167</v>
      </c>
      <c r="N4" s="25" t="s">
        <v>166</v>
      </c>
      <c r="O4" s="25" t="s">
        <v>167</v>
      </c>
      <c r="Q4" s="25" t="s">
        <v>166</v>
      </c>
      <c r="R4" s="25" t="s">
        <v>167</v>
      </c>
      <c r="T4" s="1" t="s">
        <v>280</v>
      </c>
      <c r="U4" t="s">
        <v>282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283</v>
      </c>
      <c r="U5" t="s">
        <v>284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292</v>
      </c>
      <c r="C2" s="50" t="s">
        <v>293</v>
      </c>
      <c r="D2" s="50" t="s">
        <v>294</v>
      </c>
      <c r="E2" s="50" t="s">
        <v>295</v>
      </c>
      <c r="F2" s="50" t="s">
        <v>296</v>
      </c>
      <c r="G2" s="50" t="s">
        <v>297</v>
      </c>
    </row>
    <row r="3" spans="2:10" x14ac:dyDescent="0.2">
      <c r="B3" s="3"/>
      <c r="C3" s="3"/>
      <c r="D3" s="3"/>
      <c r="E3" s="3"/>
      <c r="F3" s="3"/>
      <c r="G3" s="3"/>
      <c r="I3" s="14" t="s">
        <v>298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299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300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301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302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303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2026-08-25T03:35:45Z</dcterms:modified>
</cp:coreProperties>
</file>