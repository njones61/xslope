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119A1861-00BF-3949-902B-66F34C8769AA}" xr6:coauthVersionLast="47" xr6:coauthVersionMax="47" xr10:uidLastSave="{00000000-0000-0000-0000-000000000000}"/>
  <bookViews>
    <workbookView xWindow="4280" yWindow="2000" windowWidth="4046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<sst xmlns="http://schemas.openxmlformats.org/spreadsheetml/2006/main" count="624" uniqueCount="329">
  <si>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</si>
  <si>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</si>
  <si>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</si>
  <si>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</si>
  <si>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</si>
  <si>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</si>
  <si>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</si>
  <si>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</si>
  <si>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</si>
  <si>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</si>
  <si>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</si>
  <si>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</si>
  <si>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</si>
  <si>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</si>
  <si>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</si>
  <si>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</si>
  <si>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</si>
  <si>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</si>
  <si>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</si>
  <si>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</si>
  <si>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</si>
  <si>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</si>
  <si>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</si>
  <si>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</si>
  <si>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</si>
  <si>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</si>
  <si>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</si>
  <si>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</si>
  <si>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</si>
  <si>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</si>
  <si>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</si>
  <si>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</si>
  <si>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</si>
  <si>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</si>
  <si>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</si>
  <si>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</si>
  <si>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</si>
  <si>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</si>
  <si>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</si>
  <si>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</si>
  <si>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</si>
  <si>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</si>
  <si>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</si>
  <si>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</si>
  <si>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</si>
  <si>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</si>
  <si>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</si>
  <si>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</si>
  <si>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</si>
  <si>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</si>
  <si>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</si>
  <si>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</si>
  <si>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</si>
  <si>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</si>
  <si>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</si>
  <si>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</si>
  <si>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</si>
  <si>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</si>
  <si>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</si>
  <si>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</si>
  <si>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</si>
  <si>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</si>
  <si>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</si>
  <si>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</si>
  <si>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</si>
  <si>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</si>
  <si>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</si>
  <si>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</si>
  <si>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</si>
  <si>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</si>
  <si>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</si>
  <si>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</si>
  <si>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</si>
  <si>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</si>
  <si>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</si>
  <si>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</si>
  <si>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</si>
  <si>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</si>
  <si>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</si>
  <si>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</si>
  <si>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</si>
  <si>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</si>
  <si>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</si>
  <si>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</si>
  <si>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</si>
  <si>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</si>
  <si>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</si>
  <si>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</si>
  <si>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</si>
  <si>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</si>
  <si>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</si>
  <si>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</si>
  <si>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</si>
  <si>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</si>
  <si>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</si>
  <si>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</si>
  <si>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</si>
  <si>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</si>
  <si>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</si>
  <si>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</si>
  <si>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</si>
  <si>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</si>
  <si>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</si>
  <si>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</si>
  <si>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</si>
  <si>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</si>
  <si>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</si>
  <si>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</si>
  <si>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</si>
  <si>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</si>
  <si>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</si>
  <si>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</si>
  <si>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</si>
  <si>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</si>
  <si>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</si>
  <si>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</si>
  <si>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</si>
  <si>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</si>
  <si>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</si>
  <si>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</si>
  <si>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</si>
  <si>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</si>
  <si>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</si>
  <si>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</si>
  <si>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</si>
  <si>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</si>
  <si>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</si>
  <si>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</si>
  <si>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</si>
  <si>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</si>
  <si>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</si>
  <si>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</si>
  <si>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</si>
  <si>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</si>
  <si>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</si>
  <si>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</si>
  <si>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</si>
  <si>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</si>
  <si>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</si>
  <si>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</si>
  <si>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</si>
  <si>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</si>
  <si>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</si>
  <si>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</si>
  <si>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</si>
  <si>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</si>
  <si>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</si>
  <si>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</si>
  <si>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</si>
  <si>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</si>
  <si>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</si>
  <si>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</si>
  <si>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</si>
  <si>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</si>
  <si>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</si>
  <si>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</si>
  <si>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</si>
  <si>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</si>
  <si>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</si>
  <si>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</si>
  <si>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</si>
  <si>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</si>
  <si>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</si>
  <si>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</si>
  <si>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</si>
  <si>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</si>
  <si>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</si>
  <si>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</si>
  <si>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</si>
  <si>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</si>
  <si>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</si>
  <si>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</si>
  <si>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</si>
  <si>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</si>
  <si>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</si>
  <si>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</si>
  <si>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</si>
  <si>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</si>
  <si>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</si>
  <si>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</si>
  <si>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</si>
  <si>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</si>
  <si>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</si>
  <si>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</si>
  <si>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</si>
  <si>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</si>
  <si>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</si>
  <si>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</si>
  <si>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</si>
  <si>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</si>
  <si>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</si>
  <si>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</si>
  <si>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</si>
  <si>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</si>
  <si>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</si>
  <si>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</si>
  <si>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</si>
  <si>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</si>
  <si>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</si>
  <si>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</si>
  <si>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</si>
  <si>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</si>
  <si>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</si>
  <si>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</si>
  <si>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</si>
  <si>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</si>
  <si>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</si>
  <si>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</si>
  <si>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</si>
  <si>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</si>
  <si>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</si>
  <si>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</si>
  <si>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</si>
  <si>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</si>
  <si>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</si>
  <si>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</si>
  <si>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</si>
  <si>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</si>
  <si>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</si>
  <si>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</si>
  <si>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</si>
  <si>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</si>
  <si>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</si>
  <si>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</si>
  <si>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</si>
  <si>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</si>
  <si>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</si>
  <si>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</si>
  <si>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</si>
  <si>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</si>
  <si>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</si>
  <si>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</si>
  <si>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</si>
  <si>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</si>
  <si>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</si>
  <si>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</si>
  <si>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</si>
  <si>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</si>
  <si>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</si>
  <si>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</si>
  <si>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</si>
  <si>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</si>
  <si>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</si>
  <si>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</si>
  <si>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</si>
  <si>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</si>
  <si>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</si>
  <si>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</si>
  <si>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</si>
  <si>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</si>
  <si>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</si>
  <si>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</si>
  <si>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</si>
  <si>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</si>
  <si>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</si>
  <si>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</si>
  <si>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</si>
  <si>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</si>
  <si>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</si>
  <si>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</si>
  <si>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</si>
  <si>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</si>
  <si>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</si>
  <si>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</si>
  <si>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</si>
  <si>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</si>
  <si>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</si>
  <si>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</si>
  <si>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</si>
  <si>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</si>
  <si>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</si>
  <si>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</si>
  <si>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</si>
  <si>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</si>
  <si>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</si>
  <si>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</si>
  <si>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</si>
  <si>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</si>
  <si>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</si>
  <si>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</si>
  <si>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</si>
  <si>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</si>
  <si>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</si>
  <si>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</si>
  <si>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</si>
  <si>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</si>
  <si>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</si>
  <si>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</si>
  <si>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</si>
  <si>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</si>
  <si>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</si>
  <si>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</si>
  <si>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</si>
  <si>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</si>
  <si>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</si>
  <si>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</si>
  <si>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</si>
  <si>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</si>
  <si>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</si>
  <si>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</si>
  <si>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</si>
  <si>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</si>
  <si>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</si>
  <si>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</si>
  <si>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</si>
  <si>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</si>
  <si>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</si>
  <si>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</si>
  <si>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</si>
  <si>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</si>
  <si>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</si>
  <si>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</si>
  <si>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</si>
  <si>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</si>
  <si>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</si>
  <si>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</si>
  <si>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</si>
  <si>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</si>
  <si>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</si>
  <si>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</si>
  <si>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</si>
  <si>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</si>
  <si>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</si>
  <si>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</si>
  <si>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</si>
  <si>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</si>
  <si>
    <t>c_res</t>
  </si>
  <si>
    <t>phi_res</t>
  </si>
  <si>
    <t>dil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</si>
</sst>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7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308428</xdr:colOff>
      <xdr:row>2</xdr:row>
      <xdr:rowOff>172357</xdr:rowOff>
    </xdr:from>
    <xdr:to>
      <xdr:col>20</xdr:col>
      <xdr:colOff>381000</xdr:colOff>
      <xdr:row>12</xdr:row>
      <xdr:rowOff>172356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12237357" y="571500"/>
          <a:ext cx="3701143" cy="1995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c_res</a:t>
          </a:r>
          <a:r>
            <a:rPr lang="en-US" sz="1100" b="0" baseline="0"/>
            <a:t> = residual joint cohesion (blank = same as c)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phi_res</a:t>
          </a:r>
          <a:r>
            <a:rPr lang="en-US" sz="1100" b="0" baseline="0"/>
            <a:t> = residual joint friction angle (blank = same as phi)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baseline="0"/>
            <a:t>dil</a:t>
          </a:r>
          <a:r>
            <a:rPr lang="en-US" sz="1100" b="0" baseline="0"/>
            <a:t> = joint dilation angle, degrees (blank = 0)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 (blank = 0)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 t="inlineStr">
        <is>
          <t>fixed</t>
        </is>
      </c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Rock</t>
        </is>
      </c>
      <c r="C11" s="3">
        <v>19.62</v>
      </c>
      <c r="D11" s="3"/>
      <c r="E11" s="3" t="inlineStr">
        <is>
          <t>mc</t>
        </is>
      </c>
      <c r="F11" s="3">
        <v>25.0</v>
      </c>
      <c r="G11" s="3">
        <v>25.0</v>
      </c>
      <c r="H11" s="3"/>
      <c r="I11" s="3">
        <v>0.0</v>
      </c>
      <c r="J11" s="3"/>
      <c r="K11" s="3">
        <v>0.0</v>
      </c>
      <c r="L11" s="3">
        <v>0.0</v>
      </c>
      <c r="M11" s="3">
        <v>20000000.0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/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s">
        <v>171</v>
      </c>
      <c r="H4" s="52"/>
      <c r="J4" s="55" t="s">
        <v>172</v>
      </c>
      <c r="K4" s="52"/>
      <c r="M4" s="55" t="s">
        <v>173</v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ssr elastic</t>
        </is>
      </c>
      <c r="G5" s="38" t="s">
        <v>184</v>
      </c>
      <c r="H5" s="39" t="s">
        <v>185</v>
      </c>
      <c r="J5" s="38" t="s">
        <v>184</v>
      </c>
      <c r="K5" s="39" t="s">
        <v>185</v>
      </c>
      <c r="M5" s="38" t="s">
        <v>184</v>
      </c>
      <c r="N5" s="39" t="s">
        <v>185</v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/>
      <c r="G6" s="38" t="s">
        <v>163</v>
      </c>
      <c r="H6" s="39">
        <v>3</v>
      </c>
      <c r="J6" s="38" t="s">
        <v>163</v>
      </c>
      <c r="K6" s="39">
        <v>4</v>
      </c>
      <c r="M6" s="38" t="s">
        <v>163</v>
      </c>
      <c r="N6" s="39">
        <v>5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/>
      <c r="J8" s="38" t="s">
        <v>164</v>
      </c>
      <c r="K8" s="39"/>
      <c r="M8" s="38" t="s">
        <v>164</v>
      </c>
      <c r="N8" s="39"/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45.0</v>
      </c>
      <c r="B10" s="3">
        <v>0.0</v>
      </c>
      <c r="D10" s="3">
        <v>45.0</v>
      </c>
      <c r="E10" s="3">
        <v>20.0</v>
      </c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45.0</v>
      </c>
      <c r="B11" s="3">
        <v>20.0</v>
      </c>
      <c r="D11" s="3">
        <v>45.0</v>
      </c>
      <c r="E11" s="3">
        <v>0.0</v>
      </c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30.0</v>
      </c>
      <c r="B12" s="3">
        <v>20.0</v>
      </c>
      <c r="D12" s="3">
        <v>0.0</v>
      </c>
      <c r="E12" s="3">
        <v>0.0</v>
      </c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26.9</v>
      </c>
      <c r="B13" s="3">
        <v>20.0</v>
      </c>
      <c r="D13" s="3">
        <v>0.0</v>
      </c>
      <c r="E13" s="3">
        <v>8.2</v>
      </c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17.0</v>
      </c>
      <c r="B14" s="3">
        <v>8.2</v>
      </c>
      <c r="D14" s="3">
        <v>12.221</v>
      </c>
      <c r="E14" s="3">
        <v>8.2</v>
      </c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0.0</v>
      </c>
      <c r="B15" s="3">
        <v>8.2</v>
      </c>
      <c r="D15" s="3">
        <v>12.221</v>
      </c>
      <c r="E15" s="3">
        <v>3.19011</v>
      </c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0.0</v>
      </c>
      <c r="B16" s="3">
        <v>0.0</v>
      </c>
      <c r="D16" s="3">
        <v>40.2504</v>
      </c>
      <c r="E16" s="3">
        <v>3.19011</v>
      </c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>
        <v>40.2504</v>
      </c>
      <c r="E17" s="3">
        <v>20.0</v>
      </c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2C58C22E-BB25-6145-9297-FDBC71F3461D}">
      <formula1>"material,ssr reduce,ssr hold,ssr elastic,refine,joints"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21.95</v>
      </c>
      <c r="C3" s="3">
        <v>31.8</v>
      </c>
      <c r="D3" s="3" t="inlineStr">
        <is>
          <t>Depth</t>
        </is>
      </c>
      <c r="E3" s="3">
        <v>7.6864664555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32" si="0">IF($G3="","",IFERROR(VLOOKUP($G3,$AH$8:$AJ$11,2,0),""))</f>
        <v/>
      </c>
      <c r="I3" s="3" t="str">
        <f t="shared" ref="I3:I32" si="1">IF($G3="","",IFERROR(VLOOKUP($G3,$AH$8:$AJ$11,3,0),""))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AH5" t="s">
        <v>264</v>
      </c>
    </row>
    <row r="6" spans="1:36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36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36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36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36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36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36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 t="shared" si="0"/>
        <v/>
      </c>
      <c r="I23" s="3" t="str">
        <f t="shared" si="1"/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 t="shared" si="0"/>
        <v/>
      </c>
      <c r="I24" s="3" t="str">
        <f t="shared" si="1"/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 t="shared" si="0"/>
        <v/>
      </c>
      <c r="I25" s="3" t="str">
        <f t="shared" si="1"/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 t="shared" si="0"/>
        <v/>
      </c>
      <c r="I26" s="3" t="str">
        <f t="shared" si="1"/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 t="shared" si="0"/>
        <v/>
      </c>
      <c r="I27" s="3" t="str">
        <f t="shared" si="1"/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 t="shared" si="0"/>
        <v/>
      </c>
      <c r="I28" s="3" t="str">
        <f t="shared" si="1"/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 t="shared" si="0"/>
        <v/>
      </c>
      <c r="I29" s="3" t="str">
        <f t="shared" si="1"/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 t="shared" si="0"/>
        <v/>
      </c>
      <c r="I30" s="3" t="str">
        <f t="shared" si="1"/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 t="shared" si="0"/>
        <v/>
      </c>
      <c r="I31" s="3" t="str">
        <f t="shared" si="1"/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 t="shared" si="0"/>
        <v/>
      </c>
      <c r="I32" s="3" t="str">
        <f t="shared" si="1"/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R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5" width="10.83203125" style="1" customWidth="1"/>
    <col min="16" max="16" width="4.33203125" customWidth="1"/>
  </cols>
  <sheetData>
    <row r="2" spans="1:18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326</v>
      </c>
      <c r="J2" s="28" t="s">
        <v>327</v>
      </c>
      <c r="K2" s="28" t="s">
        <v>328</v>
      </c>
      <c r="L2" s="28" t="s">
        <v>120</v>
      </c>
      <c r="M2" s="28" t="s">
        <v>320</v>
      </c>
      <c r="N2" s="28" t="s">
        <v>321</v>
      </c>
      <c r="O2" s="28" t="s">
        <v>322</v>
      </c>
      <c r="Q2" s="29"/>
      <c r="R2" s="9" t="s">
        <v>103</v>
      </c>
    </row>
    <row r="3" spans="1:18" x14ac:dyDescent="0.2">
      <c r="A3" s="3">
        <v>1</v>
      </c>
      <c r="B3" s="3" t="inlineStr">
        <is>
          <t>step-1</t>
        </is>
      </c>
      <c r="C3" s="3">
        <v>18.33</v>
      </c>
      <c r="D3" s="3">
        <v>9.37</v>
      </c>
      <c r="E3" s="3">
        <v>22.33</v>
      </c>
      <c r="F3" s="3">
        <v>12.25</v>
      </c>
      <c r="G3" s="3">
        <v>1.0</v>
      </c>
      <c r="H3" s="3">
        <v>35.0</v>
      </c>
      <c r="I3" s="3"/>
      <c r="J3" s="3"/>
      <c r="K3" s="3"/>
      <c r="L3" s="3"/>
      <c r="M3" s="3">
        <v>100000000.0</v>
      </c>
      <c r="N3" s="3">
        <v>10000000.0</v>
      </c>
      <c r="O3" s="3"/>
    </row>
    <row r="4" spans="1:18" x14ac:dyDescent="0.2">
      <c r="A4" s="3">
        <v>2</v>
      </c>
      <c r="B4" s="3" t="inlineStr">
        <is>
          <t>step-2</t>
        </is>
      </c>
      <c r="C4" s="3">
        <v>22.33</v>
      </c>
      <c r="D4" s="3">
        <v>13.5</v>
      </c>
      <c r="E4" s="3">
        <v>26.26</v>
      </c>
      <c r="F4" s="3">
        <v>16.0</v>
      </c>
      <c r="G4" s="3">
        <v>1.0</v>
      </c>
      <c r="H4" s="3">
        <v>35.0</v>
      </c>
      <c r="I4" s="3"/>
      <c r="J4" s="3"/>
      <c r="K4" s="3"/>
      <c r="L4" s="3"/>
      <c r="M4" s="3">
        <v>100000000.0</v>
      </c>
      <c r="N4" s="3">
        <v>10000000.0</v>
      </c>
      <c r="O4" s="3"/>
    </row>
    <row r="5" spans="1:18" x14ac:dyDescent="0.2">
      <c r="A5" s="3">
        <v>3</v>
      </c>
      <c r="B5" s="3" t="inlineStr">
        <is>
          <t>step-3</t>
        </is>
      </c>
      <c r="C5" s="3">
        <v>26.26</v>
      </c>
      <c r="D5" s="3">
        <v>17.16</v>
      </c>
      <c r="E5" s="3">
        <v>29.33</v>
      </c>
      <c r="F5" s="3">
        <v>19.33</v>
      </c>
      <c r="G5" s="3">
        <v>1.0</v>
      </c>
      <c r="H5" s="3">
        <v>35.0</v>
      </c>
      <c r="I5" s="3"/>
      <c r="J5" s="3"/>
      <c r="K5" s="3"/>
      <c r="L5" s="3"/>
      <c r="M5" s="3">
        <v>100000000.0</v>
      </c>
      <c r="N5" s="3">
        <v>10000000.0</v>
      </c>
      <c r="O5" s="3"/>
    </row>
    <row r="6" spans="1:18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8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18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8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8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1" spans="1:18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8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8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8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8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8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1:15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</row>
    <row r="23" spans="1:15" x14ac:dyDescent="0.2">
      <c r="A23" s="3">
        <v>21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15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1:15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15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1:15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15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1:15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</row>
    <row r="33" spans="1:15" x14ac:dyDescent="0.2">
      <c r="A33" s="3">
        <v>31</v>
      </c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</row>
    <row r="34" spans="1:15" x14ac:dyDescent="0.2">
      <c r="A34" s="3">
        <v>32</v>
      </c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</row>
    <row r="35" spans="1:15" x14ac:dyDescent="0.2">
      <c r="A35" s="3">
        <v>33</v>
      </c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</row>
    <row r="36" spans="1:15" x14ac:dyDescent="0.2">
      <c r="A36" s="3">
        <v>34</v>
      </c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</row>
    <row r="37" spans="1:15" x14ac:dyDescent="0.2">
      <c r="A37" s="3">
        <v>35</v>
      </c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">
      <c r="A38" s="3">
        <v>36</v>
      </c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">
      <c r="A39" s="3">
        <v>37</v>
      </c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">
      <c r="A40" s="3">
        <v>38</v>
      </c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">
      <c r="A41" s="3">
        <v>39</v>
      </c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  <row r="42" spans="1:15" x14ac:dyDescent="0.2">
      <c r="A42" s="3">
        <v>40</v>
      </c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</row>
    <row r="43" spans="1:15" x14ac:dyDescent="0.2">
      <c r="A43" s="3">
        <v>41</v>
      </c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</row>
    <row r="44" spans="1:15" x14ac:dyDescent="0.2">
      <c r="A44" s="3">
        <v>42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</row>
    <row r="45" spans="1:15" x14ac:dyDescent="0.2">
      <c r="A45" s="3">
        <v>43</v>
      </c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</row>
    <row r="46" spans="1:15" x14ac:dyDescent="0.2">
      <c r="A46" s="3">
        <v>44</v>
      </c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</row>
    <row r="47" spans="1:15" x14ac:dyDescent="0.2">
      <c r="A47" s="3">
        <v>45</v>
      </c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</row>
    <row r="48" spans="1:15" x14ac:dyDescent="0.2">
      <c r="A48" s="3">
        <v>46</v>
      </c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</row>
    <row r="49" spans="1:15" x14ac:dyDescent="0.2">
      <c r="A49" s="3">
        <v>47</v>
      </c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</row>
    <row r="50" spans="1:15" x14ac:dyDescent="0.2">
      <c r="A50" s="3">
        <v>48</v>
      </c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</row>
    <row r="51" spans="1:15" x14ac:dyDescent="0.2">
      <c r="A51" s="3">
        <v>49</v>
      </c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</row>
    <row r="52" spans="1:15" x14ac:dyDescent="0.2">
      <c r="A52" s="3">
        <v>50</v>
      </c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</row>
  </sheetData>
  <dataValidations count="1">
    <dataValidation type="list" allowBlank="1" showInputMessage="1" showErrorMessage="1" sqref="O3:O5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2026-09-11T19:55:30Z</dcterms:modified>
</cp:coreProperties>
</file>