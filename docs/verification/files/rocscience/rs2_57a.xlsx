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<sst xmlns="http://schemas.openxmlformats.org/spreadsheetml/2006/main" count="624" uniqueCount="329">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</sst>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SI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9.81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>
        <v>1.0</v>
      </c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/>
    </row>
    <row r="19" spans="2:7" x14ac:dyDescent="0.2">
      <c r="C19" s="14" t="s">
        <v>42</v>
      </c>
      <c r="F19" s="1" t="s">
        <v>40</v>
      </c>
      <c r="G19" t="s">
        <v>41</v>
      </c>
      <c r="D19"/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soil</t>
        </is>
      </c>
      <c r="C11" s="3">
        <v>18.0</v>
      </c>
      <c r="D11" s="3">
        <v>18.0</v>
      </c>
      <c r="E11" s="3" t="inlineStr">
        <is>
          <t>mc</t>
        </is>
      </c>
      <c r="F11" s="3">
        <v>5.0</v>
      </c>
      <c r="G11" s="3">
        <v>10.0</v>
      </c>
      <c r="H11" s="3">
        <v>0.0</v>
      </c>
      <c r="I11" s="3">
        <v>0.0</v>
      </c>
      <c r="J11" s="3">
        <v>0.0</v>
      </c>
      <c r="K11" s="3">
        <v>0.0</v>
      </c>
      <c r="L11" s="3">
        <v>5.0</v>
      </c>
      <c r="M11" s="3">
        <v>10000.0</v>
      </c>
      <c r="N11" s="3">
        <v>0.35</v>
      </c>
      <c r="O11" s="3" t="inlineStr">
        <is>
          <t>none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>
        <v>0.5</v>
      </c>
      <c r="AP11" s="3"/>
      <c r="AQ11" s="3"/>
    </row>
    <row r="12" spans="1:43" x14ac:dyDescent="0.2">
      <c r="A12" s="3">
        <v>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18"/>
      <c r="AN12" s="19"/>
      <c r="AO12" s="19"/>
      <c r="AP12" s="19"/>
      <c r="AQ12" s="19"/>
    </row>
    <row r="13" spans="1:43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>
        <v>0.0</v>
      </c>
      <c r="D2" s="24" t="s">
        <v>146</v>
      </c>
      <c r="N2" s="24" t="s">
        <v>147</v>
      </c>
    </row>
    <row r="4" spans="1:44" x14ac:dyDescent="0.2">
      <c r="A4" s="55" t="inlineStr">
        <is>
          <t>Profile Line #1</t>
        </is>
      </c>
      <c r="B4" s="52"/>
      <c r="D4" s="55" t="s">
        <v>149</v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>
        <v>0.0</v>
      </c>
      <c r="B9" s="3">
        <v>8.0</v>
      </c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>
        <v>15.0</v>
      </c>
      <c r="B10" s="3">
        <v>8.0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25.0</v>
      </c>
      <c r="B11" s="3">
        <v>18.5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>
        <v>40.0</v>
      </c>
      <c r="B12" s="3">
        <v>18.5</v>
      </c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B5" activeCellId="1" sqref="AR5 B5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s">
        <v>169</v>
      </c>
      <c r="B4" s="52"/>
      <c r="D4" s="55" t="s">
        <v>170</v>
      </c>
      <c r="E4" s="52"/>
      <c r="G4" s="55" t="s">
        <v>171</v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s">
        <v>185</v>
      </c>
      <c r="D5" s="38" t="s">
        <v>184</v>
      </c>
      <c r="E5" s="39" t="s">
        <v>185</v>
      </c>
      <c r="G5" s="38" t="s">
        <v>184</v>
      </c>
      <c r="H5" s="39" t="s">
        <v>185</v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32" si="0">IF($G3="","",IFERROR(VLOOKUP($G3,$AH$8:$AJ$11,2,0),""))</f>
        <v/>
      </c>
      <c r="I3" s="3" t="str">
        <f t="shared" ref="I3:I32" si="1">IF($G3="","",IFERROR(VLOOKUP($G3,$AH$8:$AJ$11,3,0),""))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36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36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6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6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36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36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 t="shared" si="0"/>
        <v/>
      </c>
      <c r="I23" s="3" t="str">
        <f t="shared" si="1"/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 t="shared" si="0"/>
        <v/>
      </c>
      <c r="I24" s="3" t="str">
        <f t="shared" si="1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 t="shared" si="0"/>
        <v/>
      </c>
      <c r="I25" s="3" t="str">
        <f t="shared" si="1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 t="shared" si="0"/>
        <v/>
      </c>
      <c r="I26" s="3" t="str">
        <f t="shared" si="1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 t="shared" si="0"/>
        <v/>
      </c>
      <c r="I27" s="3" t="str">
        <f t="shared" si="1"/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 t="shared" si="0"/>
        <v/>
      </c>
      <c r="I28" s="3" t="str">
        <f t="shared" si="1"/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 t="shared" si="0"/>
        <v/>
      </c>
      <c r="I29" s="3" t="str">
        <f t="shared" si="1"/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 t="shared" si="0"/>
        <v/>
      </c>
      <c r="I30" s="3" t="str">
        <f t="shared" si="1"/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 t="shared" si="0"/>
        <v/>
      </c>
      <c r="I31" s="3" t="str">
        <f t="shared" si="1"/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 t="shared" si="0"/>
        <v/>
      </c>
      <c r="I32" s="3" t="str">
        <f t="shared" si="1"/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Q17" sqref="Q17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8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8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8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8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8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8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8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8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8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8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8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8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8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">
      <c r="A23" s="3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">
      <c r="A24" s="3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">
      <c r="A25" s="3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">
      <c r="A26" s="3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2">
      <c r="A27" s="3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2">
      <c r="A28" s="3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2">
      <c r="A29" s="3">
        <v>27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">
      <c r="A30" s="3">
        <v>28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2">
      <c r="A31" s="3">
        <v>29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2">
      <c r="A32" s="3">
        <v>30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">
      <c r="A33" s="3">
        <v>31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2">
      <c r="A34" s="3">
        <v>32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">
      <c r="A35" s="3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">
      <c r="A36" s="3">
        <v>34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">
      <c r="A37" s="3">
        <v>35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">
      <c r="A38" s="3">
        <v>36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3">
        <v>37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">
      <c r="A40" s="3">
        <v>38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3">
        <v>39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">
      <c r="A42" s="3">
        <v>40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3">
        <v>41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3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3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3">
        <v>44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3">
        <v>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3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3">
        <v>47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3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3">
        <v>49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3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s">
        <v>279</v>
      </c>
      <c r="F3" s="33"/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