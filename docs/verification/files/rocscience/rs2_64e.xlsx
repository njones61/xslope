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<sst xmlns="http://schemas.openxmlformats.org/spreadsheetml/2006/main" count="518" uniqueCount="304">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</sst>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20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SI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9.81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33.6</v>
      </c>
      <c r="G11" s="3">
        <v>41.4</v>
      </c>
      <c r="H11" s="3">
        <v>0.0</v>
      </c>
      <c r="I11" s="3">
        <v>0.0</v>
      </c>
      <c r="J11" s="3">
        <v>0.0</v>
      </c>
      <c r="K11" s="3">
        <v>0.0</v>
      </c>
      <c r="L11" s="3">
        <v>33.6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303</v>
      </c>
    </row>
    <row r="4" spans="1:44" x14ac:dyDescent="0.2">
      <c r="A4" s="55" t="inlineStr">
        <is>
          <t>Polygon #1</t>
        </is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176</v>
      </c>
      <c r="B5" s="39">
        <v>1</v>
      </c>
      <c r="D5" s="38" t="s">
        <v>176</v>
      </c>
      <c r="E5" s="39">
        <v>2</v>
      </c>
      <c r="G5" s="38" t="s">
        <v>176</v>
      </c>
      <c r="H5" s="39">
        <v>3</v>
      </c>
      <c r="J5" s="38" t="s">
        <v>176</v>
      </c>
      <c r="K5" s="39">
        <v>4</v>
      </c>
      <c r="M5" s="38" t="s">
        <v>176</v>
      </c>
      <c r="N5" s="39">
        <v>5</v>
      </c>
      <c r="P5" s="38" t="s">
        <v>176</v>
      </c>
      <c r="Q5" s="39">
        <v>6</v>
      </c>
      <c r="R5" s="1"/>
      <c r="S5" s="38" t="s">
        <v>176</v>
      </c>
      <c r="T5" s="39">
        <v>7</v>
      </c>
      <c r="U5" s="1"/>
      <c r="V5" s="38" t="s">
        <v>176</v>
      </c>
      <c r="W5" s="39">
        <v>8</v>
      </c>
      <c r="X5" s="1"/>
      <c r="Y5" s="38" t="s">
        <v>176</v>
      </c>
      <c r="Z5" s="39">
        <v>9</v>
      </c>
      <c r="AA5" s="1"/>
      <c r="AB5" s="38" t="s">
        <v>176</v>
      </c>
      <c r="AC5" s="39">
        <v>10</v>
      </c>
      <c r="AE5" s="38" t="s">
        <v>176</v>
      </c>
      <c r="AF5" s="39">
        <v>11</v>
      </c>
      <c r="AG5" s="1"/>
      <c r="AH5" s="38" t="s">
        <v>176</v>
      </c>
      <c r="AI5" s="39">
        <v>12</v>
      </c>
      <c r="AJ5" s="1"/>
      <c r="AK5" s="38" t="s">
        <v>176</v>
      </c>
      <c r="AL5" s="39">
        <v>13</v>
      </c>
      <c r="AM5" s="1"/>
      <c r="AN5" s="38" t="s">
        <v>176</v>
      </c>
      <c r="AO5" s="39">
        <v>14</v>
      </c>
      <c r="AP5" s="1"/>
      <c r="AQ5" s="38" t="s">
        <v>176</v>
      </c>
      <c r="AR5" s="39">
        <v>15</v>
      </c>
    </row>
    <row r="6" spans="1:44" x14ac:dyDescent="0.2">
      <c r="A6" s="58" t="str">
        <f>IF(B5=-1,"SSR reduce",IF(B5=-2,"SSR hold",IF(B5=-3,"SSR elastic",_xlfn.XLOOKUP(B5,mat!$A:$A, mat!$B:$B,"") &amp; "")))</f>
        <v/>
      </c>
      <c r="B6" s="57"/>
      <c r="D6" s="58" t="str">
        <f>IF(E5=-1,"SSR reduce",IF(E5=-2,"SSR hold",IF(E5=-3,"SSR elastic",_xlfn.XLOOKUP(E5,mat!$A:$A, mat!$B:$B,"") &amp; "")))</f>
        <v/>
      </c>
      <c r="E6" s="57"/>
      <c r="G6" s="58" t="str">
        <f>IF(H5=-1,"SSR reduce",IF(H5=-2,"SSR hold",IF(H5=-3,"SSR elastic",_xlfn.XLOOKUP(H5,mat!$A:$A, mat!$B:$B,"") &amp; "")))</f>
        <v/>
      </c>
      <c r="H6" s="57"/>
      <c r="J6" s="58" t="str">
        <f>IF(K5=-1,"SSR reduce",IF(K5=-2,"SSR hold",IF(K5=-3,"SSR elastic",_xlfn.XLOOKUP(K5,mat!$A:$A, mat!$B:$B,"") &amp; "")))</f>
        <v/>
      </c>
      <c r="K6" s="57"/>
      <c r="M6" s="58" t="str">
        <f>IF(N5=-1,"SSR reduce",IF(N5=-2,"SSR hold",IF(N5=-3,"SSR elastic",_xlfn.XLOOKUP(N5,mat!$A:$A, mat!$B:$B,"") &amp; "")))</f>
        <v/>
      </c>
      <c r="N6" s="57"/>
      <c r="P6" s="58" t="str">
        <f>IF(Q5=-1,"SSR reduce",IF(Q5=-2,"SSR hold",IF(Q5=-3,"SSR elastic",_xlfn.XLOOKUP(Q5,mat!$A:$A, mat!$B:$B,"") &amp; "")))</f>
        <v/>
      </c>
      <c r="Q6" s="57"/>
      <c r="R6" s="1"/>
      <c r="S6" s="58" t="str">
        <f>IF(T5=-1,"SSR reduce",IF(T5=-2,"SSR hold",IF(T5=-3,"SSR elastic",_xlfn.XLOOKUP(T5,mat!$A:$A, mat!$B:$B,"") &amp; "")))</f>
        <v/>
      </c>
      <c r="T6" s="57"/>
      <c r="U6" s="1"/>
      <c r="V6" s="58" t="str">
        <f>IF(W5=-1,"SSR reduce",IF(W5=-2,"SSR hold",IF(W5=-3,"SSR elastic",_xlfn.XLOOKUP(W5,mat!$A:$A, mat!$B:$B,"") &amp; "")))</f>
        <v/>
      </c>
      <c r="W6" s="57"/>
      <c r="X6" s="1"/>
      <c r="Y6" s="58" t="str">
        <f>IF(Z5=-1,"SSR reduce",IF(Z5=-2,"SSR hold",IF(Z5=-3,"SSR elastic",_xlfn.XLOOKUP(Z5,mat!$A:$A, mat!$B:$B,"") &amp; "")))</f>
        <v/>
      </c>
      <c r="Z6" s="57"/>
      <c r="AA6" s="1"/>
      <c r="AB6" s="58" t="str">
        <f>IF(AC5=-1,"SSR reduce",IF(AC5=-2,"SSR hold",IF(AC5=-3,"SSR elastic",_xlfn.XLOOKUP(AC5,mat!$A:$A, mat!$B:$B,"") &amp; "")))</f>
        <v/>
      </c>
      <c r="AC6" s="57"/>
      <c r="AE6" s="58" t="str">
        <f>IF(AF5=-1,"SSR reduce",IF(AF5=-2,"SSR hold",IF(AF5=-3,"SSR elastic",_xlfn.XLOOKUP(AF5,mat!$A:$A, mat!$B:$B,"") &amp; "")))</f>
        <v/>
      </c>
      <c r="AF6" s="57"/>
      <c r="AG6" s="1"/>
      <c r="AH6" s="58" t="str">
        <f>IF(AI5=-1,"SSR reduce",IF(AI5=-2,"SSR hold",IF(AI5=-3,"SSR elastic",_xlfn.XLOOKUP(AI5,mat!$A:$A, mat!$B:$B,"") &amp; "")))</f>
        <v/>
      </c>
      <c r="AI6" s="57"/>
      <c r="AJ6" s="1"/>
      <c r="AK6" s="58" t="str">
        <f>IF(AL5=-1,"SSR reduce",IF(AL5=-2,"SSR hold",IF(AL5=-3,"SSR elastic",_xlfn.XLOOKUP(AL5,mat!$A:$A, mat!$B:$B,"") &amp; "")))</f>
        <v/>
      </c>
      <c r="AL6" s="57"/>
      <c r="AM6" s="1"/>
      <c r="AN6" s="58" t="str">
        <f>IF(AO5=-1,"SSR reduce",IF(AO5=-2,"SSR hold",IF(AO5=-3,"SSR elastic",_xlfn.XLOOKUP(AO5,mat!$A:$A, mat!$B:$B,"") &amp; "")))</f>
        <v/>
      </c>
      <c r="AO6" s="57"/>
      <c r="AP6" s="1"/>
      <c r="AQ6" s="58" t="str">
        <f>IF(AR5=-1,"SSR reduce",IF(AR5=-2,"SSR hold",IF(AR5=-3,"SSR elastic",_xlfn.XLOOKUP(AR5,mat!$A:$A, mat!$B:$B,"") &amp; "")))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>
        <v>18.0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18.0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13.0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3.02</v>
      </c>
      <c r="B11" s="3">
        <v>4.585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0.0</v>
      </c>
      <c r="B12" s="3">
        <v>4.585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-4.0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3.02</v>
      </c>
      <c r="B14" s="3">
        <v>-4.0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13.0</v>
      </c>
      <c r="B15" s="3">
        <v>-4.0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piezo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2" t="s">
        <v>228</v>
      </c>
      <c r="C3" s="2" t="s">
        <v>229</v>
      </c>
      <c r="D3" s="2" t="s">
        <v>243</v>
      </c>
      <c r="F3" s="2" t="s">
        <v>228</v>
      </c>
      <c r="G3" s="2" t="s">
        <v>229</v>
      </c>
      <c r="H3" s="2" t="s">
        <v>243</v>
      </c>
      <c r="J3" s="2" t="s">
        <v>228</v>
      </c>
      <c r="K3" s="2" t="s">
        <v>229</v>
      </c>
      <c r="L3" s="2" t="s">
        <v>243</v>
      </c>
      <c r="N3" s="2" t="s">
        <v>228</v>
      </c>
      <c r="O3" s="2" t="s">
        <v>229</v>
      </c>
      <c r="P3" s="2" t="s">
        <v>243</v>
      </c>
      <c r="R3" s="2" t="s">
        <v>228</v>
      </c>
      <c r="S3" s="2" t="s">
        <v>229</v>
      </c>
      <c r="T3" s="2" t="s">
        <v>243</v>
      </c>
      <c r="V3" s="2" t="s">
        <v>228</v>
      </c>
      <c r="W3" s="2" t="s">
        <v>229</v>
      </c>
      <c r="X3" s="2" t="s">
        <v>243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B2:D2"/>
    <mergeCell ref="V2:X2"/>
    <mergeCell ref="J2:L2"/>
    <mergeCell ref="N2:P2"/>
    <mergeCell ref="R2:T2"/>
    <mergeCell ref="F2:H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