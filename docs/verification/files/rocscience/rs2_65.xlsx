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<sst xmlns="http://schemas.openxmlformats.org/spreadsheetml/2006/main" count="624" uniqueCount="329">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</sst>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Rockfill Lyulyaka</t>
        </is>
      </c>
      <c r="C11" s="3">
        <v>18.6</v>
      </c>
      <c r="D11" s="3">
        <v>18.6</v>
      </c>
      <c r="E11" s="3" t="inlineStr">
        <is>
          <t>mc</t>
        </is>
      </c>
      <c r="F11" s="3">
        <v>20.0</v>
      </c>
      <c r="G11" s="3">
        <v>38.0</v>
      </c>
      <c r="H11" s="3">
        <v>0.0</v>
      </c>
      <c r="I11" s="3">
        <v>0.0</v>
      </c>
      <c r="J11" s="3">
        <v>0.0</v>
      </c>
      <c r="K11" s="3">
        <v>0.0</v>
      </c>
      <c r="L11" s="3">
        <v>20.0</v>
      </c>
      <c r="M11" s="3">
        <v>75000.0</v>
      </c>
      <c r="N11" s="3">
        <v>0.3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Fill</t>
        </is>
      </c>
      <c r="C12" s="3">
        <v>18.9</v>
      </c>
      <c r="D12" s="3">
        <v>18.9</v>
      </c>
      <c r="E12" s="3" t="inlineStr">
        <is>
          <t>mc</t>
        </is>
      </c>
      <c r="F12" s="3">
        <v>22.5</v>
      </c>
      <c r="G12" s="3">
        <v>33.7</v>
      </c>
      <c r="H12" s="3">
        <v>0.0</v>
      </c>
      <c r="I12" s="3">
        <v>0.0</v>
      </c>
      <c r="J12" s="3">
        <v>0.0</v>
      </c>
      <c r="K12" s="3">
        <v>0.0</v>
      </c>
      <c r="L12" s="3">
        <v>22.5</v>
      </c>
      <c r="M12" s="3">
        <v>70000.0</v>
      </c>
      <c r="N12" s="3">
        <v>0.31</v>
      </c>
      <c r="O12" s="3" t="inlineStr">
        <is>
          <t>piezo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Rockfill G.Sakar</t>
        </is>
      </c>
      <c r="C13" s="3">
        <v>18.6</v>
      </c>
      <c r="D13" s="3">
        <v>18.6</v>
      </c>
      <c r="E13" s="3" t="inlineStr">
        <is>
          <t>mc</t>
        </is>
      </c>
      <c r="F13" s="3">
        <v>20.0</v>
      </c>
      <c r="G13" s="3">
        <v>38.0</v>
      </c>
      <c r="H13" s="3">
        <v>0.0</v>
      </c>
      <c r="I13" s="3">
        <v>0.0</v>
      </c>
      <c r="J13" s="3">
        <v>0.0</v>
      </c>
      <c r="K13" s="3">
        <v>0.0</v>
      </c>
      <c r="L13" s="3">
        <v>20.0</v>
      </c>
      <c r="M13" s="3">
        <v>75000.0</v>
      </c>
      <c r="N13" s="3">
        <v>0.3</v>
      </c>
      <c r="O13" s="3" t="inlineStr">
        <is>
          <t>piezo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 t="inlineStr">
        <is>
          <t>Counterfill</t>
        </is>
      </c>
      <c r="C14" s="3">
        <v>18.9</v>
      </c>
      <c r="D14" s="3">
        <v>18.9</v>
      </c>
      <c r="E14" s="3" t="inlineStr">
        <is>
          <t>mc</t>
        </is>
      </c>
      <c r="F14" s="3">
        <v>22.5</v>
      </c>
      <c r="G14" s="3">
        <v>33.7</v>
      </c>
      <c r="H14" s="3">
        <v>0.0</v>
      </c>
      <c r="I14" s="3">
        <v>0.0</v>
      </c>
      <c r="J14" s="3">
        <v>0.0</v>
      </c>
      <c r="K14" s="3">
        <v>0.0</v>
      </c>
      <c r="L14" s="3">
        <v>22.5</v>
      </c>
      <c r="M14" s="3">
        <v>70000.0</v>
      </c>
      <c r="N14" s="3">
        <v>0.31</v>
      </c>
      <c r="O14" s="3" t="inlineStr">
        <is>
          <t>piezo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 t="inlineStr">
        <is>
          <t>lf</t>
        </is>
      </c>
      <c r="AK14" s="3">
        <v>0.0</v>
      </c>
      <c r="AL14" s="3">
        <v>0.0</v>
      </c>
      <c r="AM14" s="3">
        <v>0.0</v>
      </c>
      <c r="AN14" s="3">
        <v>0.0</v>
      </c>
      <c r="AO14" s="3">
        <v>0.5</v>
      </c>
      <c r="AP14" s="3"/>
      <c r="AQ14" s="3"/>
    </row>
    <row r="15" spans="1:43" x14ac:dyDescent="0.2">
      <c r="A15" s="3">
        <v>5</v>
      </c>
      <c r="B15" s="3" t="inlineStr">
        <is>
          <t>Tailings</t>
        </is>
      </c>
      <c r="C15" s="3">
        <v>13.3</v>
      </c>
      <c r="D15" s="3">
        <v>13.3</v>
      </c>
      <c r="E15" s="3" t="inlineStr">
        <is>
          <t>mc</t>
        </is>
      </c>
      <c r="F15" s="3">
        <v>0.0</v>
      </c>
      <c r="G15" s="3">
        <v>34.8</v>
      </c>
      <c r="H15" s="3">
        <v>0.0</v>
      </c>
      <c r="I15" s="3">
        <v>0.0</v>
      </c>
      <c r="J15" s="3">
        <v>0.0</v>
      </c>
      <c r="K15" s="3">
        <v>0.0</v>
      </c>
      <c r="L15" s="3">
        <v>0.0</v>
      </c>
      <c r="M15" s="3">
        <v>16100.0</v>
      </c>
      <c r="N15" s="3">
        <v>0.35</v>
      </c>
      <c r="O15" s="3" t="inlineStr">
        <is>
          <t>piezo</t>
        </is>
      </c>
      <c r="P15" s="3">
        <v>0.0</v>
      </c>
      <c r="Q15" s="3"/>
      <c r="R15" s="3"/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0.0</v>
      </c>
      <c r="AJ15" s="3" t="inlineStr">
        <is>
          <t>lf</t>
        </is>
      </c>
      <c r="AK15" s="3">
        <v>0.0</v>
      </c>
      <c r="AL15" s="3">
        <v>0.0</v>
      </c>
      <c r="AM15" s="3">
        <v>0.0</v>
      </c>
      <c r="AN15" s="3">
        <v>0.0</v>
      </c>
      <c r="AO15" s="3">
        <v>0.5</v>
      </c>
      <c r="AP15" s="3"/>
      <c r="AQ15" s="3"/>
    </row>
    <row r="16" spans="1:43" x14ac:dyDescent="0.2">
      <c r="A16" s="3">
        <v>6</v>
      </c>
      <c r="B16" s="3" t="inlineStr">
        <is>
          <t>Alluvial Clay</t>
        </is>
      </c>
      <c r="C16" s="3">
        <v>19.8</v>
      </c>
      <c r="D16" s="3">
        <v>19.8</v>
      </c>
      <c r="E16" s="3" t="inlineStr">
        <is>
          <t>mc</t>
        </is>
      </c>
      <c r="F16" s="3">
        <v>0.0</v>
      </c>
      <c r="G16" s="3">
        <v>24.65</v>
      </c>
      <c r="H16" s="3">
        <v>0.0</v>
      </c>
      <c r="I16" s="3">
        <v>0.0</v>
      </c>
      <c r="J16" s="3">
        <v>0.0</v>
      </c>
      <c r="K16" s="3">
        <v>0.0</v>
      </c>
      <c r="L16" s="3">
        <v>0.0</v>
      </c>
      <c r="M16" s="3">
        <v>16300.0</v>
      </c>
      <c r="N16" s="3">
        <v>0.34</v>
      </c>
      <c r="O16" s="3" t="inlineStr">
        <is>
          <t>piezo</t>
        </is>
      </c>
      <c r="P16" s="3">
        <v>0.0</v>
      </c>
      <c r="Q16" s="3"/>
      <c r="R16" s="3"/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>
        <v>0.0</v>
      </c>
      <c r="AB16" s="3">
        <v>0.0</v>
      </c>
      <c r="AC16" s="3">
        <v>0.0</v>
      </c>
      <c r="AD16" s="3">
        <v>0.0</v>
      </c>
      <c r="AE16" s="3">
        <v>0.0</v>
      </c>
      <c r="AF16" s="3">
        <v>0.0</v>
      </c>
      <c r="AG16" s="3">
        <v>0.0</v>
      </c>
      <c r="AH16" s="3">
        <v>0.0</v>
      </c>
      <c r="AI16" s="3">
        <v>0.0</v>
      </c>
      <c r="AJ16" s="3" t="inlineStr">
        <is>
          <t>lf</t>
        </is>
      </c>
      <c r="AK16" s="3">
        <v>0.0</v>
      </c>
      <c r="AL16" s="3">
        <v>0.0</v>
      </c>
      <c r="AM16" s="3">
        <v>0.0</v>
      </c>
      <c r="AN16" s="3">
        <v>0.0</v>
      </c>
      <c r="AO16" s="3">
        <v>0.5</v>
      </c>
      <c r="AP16" s="3"/>
      <c r="AQ16" s="3"/>
    </row>
    <row r="17" spans="1:43" x14ac:dyDescent="0.2">
      <c r="A17" s="3">
        <v>7</v>
      </c>
      <c r="B17" s="3" t="inlineStr">
        <is>
          <t>Marly Clay</t>
        </is>
      </c>
      <c r="C17" s="3">
        <v>22.2</v>
      </c>
      <c r="D17" s="3">
        <v>22.2</v>
      </c>
      <c r="E17" s="3" t="inlineStr">
        <is>
          <t>mc</t>
        </is>
      </c>
      <c r="F17" s="3">
        <v>0.0</v>
      </c>
      <c r="G17" s="3">
        <v>19.5</v>
      </c>
      <c r="H17" s="3">
        <v>0.0</v>
      </c>
      <c r="I17" s="3">
        <v>0.0</v>
      </c>
      <c r="J17" s="3">
        <v>0.0</v>
      </c>
      <c r="K17" s="3">
        <v>0.0</v>
      </c>
      <c r="L17" s="3">
        <v>0.0</v>
      </c>
      <c r="M17" s="3">
        <v>38000.0</v>
      </c>
      <c r="N17" s="3">
        <v>0.33</v>
      </c>
      <c r="O17" s="3" t="inlineStr">
        <is>
          <t>piezo</t>
        </is>
      </c>
      <c r="P17" s="3">
        <v>0.0</v>
      </c>
      <c r="Q17" s="3"/>
      <c r="R17" s="3"/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  <c r="AD17" s="3">
        <v>0.0</v>
      </c>
      <c r="AE17" s="3">
        <v>0.0</v>
      </c>
      <c r="AF17" s="3">
        <v>0.0</v>
      </c>
      <c r="AG17" s="3">
        <v>0.0</v>
      </c>
      <c r="AH17" s="3">
        <v>0.0</v>
      </c>
      <c r="AI17" s="3">
        <v>0.0</v>
      </c>
      <c r="AJ17" s="3" t="inlineStr">
        <is>
          <t>lf</t>
        </is>
      </c>
      <c r="AK17" s="3">
        <v>0.0</v>
      </c>
      <c r="AL17" s="3">
        <v>0.0</v>
      </c>
      <c r="AM17" s="3">
        <v>0.0</v>
      </c>
      <c r="AN17" s="3">
        <v>0.0</v>
      </c>
      <c r="AO17" s="3">
        <v>0.5</v>
      </c>
      <c r="AP17" s="3"/>
      <c r="AQ17" s="3"/>
    </row>
    <row r="18" spans="1:43" x14ac:dyDescent="0.2">
      <c r="A18" s="3">
        <v>8</v>
      </c>
      <c r="B18" s="3" t="inlineStr">
        <is>
          <t>Marl</t>
        </is>
      </c>
      <c r="C18" s="3">
        <v>24.0</v>
      </c>
      <c r="D18" s="3">
        <v>24.0</v>
      </c>
      <c r="E18" s="3" t="inlineStr">
        <is>
          <t>mc</t>
        </is>
      </c>
      <c r="F18" s="3">
        <v>30.0</v>
      </c>
      <c r="G18" s="3">
        <v>24.5</v>
      </c>
      <c r="H18" s="3">
        <v>0.0</v>
      </c>
      <c r="I18" s="3">
        <v>0.0</v>
      </c>
      <c r="J18" s="3">
        <v>0.0</v>
      </c>
      <c r="K18" s="3">
        <v>0.0</v>
      </c>
      <c r="L18" s="3">
        <v>30.0</v>
      </c>
      <c r="M18" s="3">
        <v>75000.0</v>
      </c>
      <c r="N18" s="3">
        <v>0.3</v>
      </c>
      <c r="O18" s="3" t="inlineStr">
        <is>
          <t>piezo</t>
        </is>
      </c>
      <c r="P18" s="3">
        <v>0.0</v>
      </c>
      <c r="Q18" s="3"/>
      <c r="R18" s="3"/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0.0</v>
      </c>
      <c r="AA18" s="3">
        <v>0.0</v>
      </c>
      <c r="AB18" s="3">
        <v>0.0</v>
      </c>
      <c r="AC18" s="3">
        <v>0.0</v>
      </c>
      <c r="AD18" s="3">
        <v>0.0</v>
      </c>
      <c r="AE18" s="3">
        <v>0.0</v>
      </c>
      <c r="AF18" s="3">
        <v>0.0</v>
      </c>
      <c r="AG18" s="3">
        <v>0.0</v>
      </c>
      <c r="AH18" s="3">
        <v>0.0</v>
      </c>
      <c r="AI18" s="3">
        <v>0.0</v>
      </c>
      <c r="AJ18" s="3" t="inlineStr">
        <is>
          <t>lf</t>
        </is>
      </c>
      <c r="AK18" s="3">
        <v>0.0</v>
      </c>
      <c r="AL18" s="3">
        <v>0.0</v>
      </c>
      <c r="AM18" s="3">
        <v>0.0</v>
      </c>
      <c r="AN18" s="3">
        <v>0.0</v>
      </c>
      <c r="AO18" s="3">
        <v>0.5</v>
      </c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inlineStr">
        <is>
          <t>Polygon #4</t>
        </is>
      </c>
      <c r="K4" s="52"/>
      <c r="M4" s="55" t="inlineStr">
        <is>
          <t>Polygon #5</t>
        </is>
      </c>
      <c r="N4" s="52"/>
      <c r="P4" s="55" t="inlineStr">
        <is>
          <t>Polygon #6</t>
        </is>
      </c>
      <c r="Q4" s="54"/>
      <c r="R4" s="1"/>
      <c r="S4" s="55" t="inlineStr">
        <is>
          <t>Polygon #7</t>
        </is>
      </c>
      <c r="T4" s="54"/>
      <c r="U4" s="1"/>
      <c r="V4" s="55" t="inlineStr">
        <is>
          <t>Polygon #8</t>
        </is>
      </c>
      <c r="W4" s="54"/>
      <c r="X4" s="1"/>
      <c r="Y4" s="55" t="inlineStr">
        <is>
          <t>Polygon #9</t>
        </is>
      </c>
      <c r="Z4" s="54"/>
      <c r="AA4" s="1"/>
      <c r="AB4" s="55" t="inlineStr">
        <is>
          <t>Polygon #10</t>
        </is>
      </c>
      <c r="AC4" s="54"/>
      <c r="AE4" s="55" t="inlineStr">
        <is>
          <t>Polygon #11</t>
        </is>
      </c>
      <c r="AF4" s="54"/>
      <c r="AG4" s="1"/>
      <c r="AH4" s="55" t="inlineStr">
        <is>
          <t>Polygon #12</t>
        </is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inlineStr">
        <is>
          <t>material</t>
        </is>
      </c>
      <c r="M5" s="38" t="s">
        <v>184</v>
      </c>
      <c r="N5" s="39" t="inlineStr">
        <is>
          <t>material</t>
        </is>
      </c>
      <c r="P5" s="38" t="s">
        <v>184</v>
      </c>
      <c r="Q5" s="39" t="inlineStr">
        <is>
          <t>material</t>
        </is>
      </c>
      <c r="R5" s="1"/>
      <c r="S5" s="38" t="s">
        <v>184</v>
      </c>
      <c r="T5" s="39" t="inlineStr">
        <is>
          <t>material</t>
        </is>
      </c>
      <c r="U5" s="1"/>
      <c r="V5" s="38" t="s">
        <v>184</v>
      </c>
      <c r="W5" s="39" t="inlineStr">
        <is>
          <t>material</t>
        </is>
      </c>
      <c r="X5" s="1"/>
      <c r="Y5" s="38" t="s">
        <v>184</v>
      </c>
      <c r="Z5" s="39" t="inlineStr">
        <is>
          <t>material</t>
        </is>
      </c>
      <c r="AA5" s="1"/>
      <c r="AB5" s="38" t="s">
        <v>184</v>
      </c>
      <c r="AC5" s="39" t="inlineStr">
        <is>
          <t>material</t>
        </is>
      </c>
      <c r="AE5" s="38" t="s">
        <v>184</v>
      </c>
      <c r="AF5" s="39" t="inlineStr">
        <is>
          <t>material</t>
        </is>
      </c>
      <c r="AG5" s="1"/>
      <c r="AH5" s="38" t="s">
        <v>184</v>
      </c>
      <c r="AI5" s="39" t="inlineStr">
        <is>
          <t>material</t>
        </is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8</v>
      </c>
      <c r="D6" s="38" t="s">
        <v>163</v>
      </c>
      <c r="E6" s="39">
        <v>7</v>
      </c>
      <c r="G6" s="38" t="s">
        <v>163</v>
      </c>
      <c r="H6" s="39">
        <v>6</v>
      </c>
      <c r="J6" s="38" t="s">
        <v>163</v>
      </c>
      <c r="K6" s="39">
        <v>5</v>
      </c>
      <c r="M6" s="38" t="s">
        <v>163</v>
      </c>
      <c r="N6" s="39">
        <v>2</v>
      </c>
      <c r="P6" s="38" t="s">
        <v>163</v>
      </c>
      <c r="Q6" s="39">
        <v>3</v>
      </c>
      <c r="R6" s="1"/>
      <c r="S6" s="38" t="s">
        <v>163</v>
      </c>
      <c r="T6" s="39">
        <v>3</v>
      </c>
      <c r="U6" s="1"/>
      <c r="V6" s="38" t="s">
        <v>163</v>
      </c>
      <c r="W6" s="39">
        <v>1</v>
      </c>
      <c r="X6" s="1"/>
      <c r="Y6" s="38" t="s">
        <v>163</v>
      </c>
      <c r="Z6" s="39">
        <v>1</v>
      </c>
      <c r="AA6" s="1"/>
      <c r="AB6" s="38" t="s">
        <v>163</v>
      </c>
      <c r="AC6" s="39">
        <v>4</v>
      </c>
      <c r="AE6" s="38" t="s">
        <v>163</v>
      </c>
      <c r="AF6" s="39">
        <v>1</v>
      </c>
      <c r="AG6" s="1"/>
      <c r="AH6" s="38" t="s">
        <v>163</v>
      </c>
      <c r="AI6" s="39">
        <v>1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155.5</v>
      </c>
      <c r="B10" s="3">
        <v>6.808</v>
      </c>
      <c r="D10" s="3">
        <v>155.5</v>
      </c>
      <c r="E10" s="3">
        <v>8.766</v>
      </c>
      <c r="G10" s="3">
        <v>155.5</v>
      </c>
      <c r="H10" s="3">
        <v>10.933</v>
      </c>
      <c r="J10" s="3">
        <v>101.0</v>
      </c>
      <c r="K10" s="3">
        <v>46.0</v>
      </c>
      <c r="M10" s="3">
        <v>96.01</v>
      </c>
      <c r="N10" s="3">
        <v>47.0</v>
      </c>
      <c r="P10" s="3">
        <v>82.5</v>
      </c>
      <c r="Q10" s="3">
        <v>43.0</v>
      </c>
      <c r="R10" s="1"/>
      <c r="S10" s="3">
        <v>68.0</v>
      </c>
      <c r="T10" s="3">
        <v>37.5</v>
      </c>
      <c r="U10" s="1"/>
      <c r="V10" s="3">
        <v>44.0</v>
      </c>
      <c r="W10" s="3">
        <v>30.0</v>
      </c>
      <c r="X10" s="1"/>
      <c r="Y10" s="3">
        <v>23.0</v>
      </c>
      <c r="Z10" s="3">
        <v>18.5</v>
      </c>
      <c r="AA10" s="1"/>
      <c r="AB10" s="3">
        <v>-17.5</v>
      </c>
      <c r="AC10" s="3">
        <v>9.0</v>
      </c>
      <c r="AE10" s="3">
        <v>84.954</v>
      </c>
      <c r="AF10" s="3">
        <v>10.933</v>
      </c>
      <c r="AG10" s="1"/>
      <c r="AH10" s="3">
        <v>64.72</v>
      </c>
      <c r="AI10" s="3">
        <v>30.287</v>
      </c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155.5</v>
      </c>
      <c r="B11" s="3">
        <v>-30.0</v>
      </c>
      <c r="D11" s="3">
        <v>155.5</v>
      </c>
      <c r="E11" s="3">
        <v>6.808</v>
      </c>
      <c r="G11" s="3">
        <v>155.5</v>
      </c>
      <c r="H11" s="3">
        <v>8.766</v>
      </c>
      <c r="J11" s="3">
        <v>116.167</v>
      </c>
      <c r="K11" s="3">
        <v>46.0</v>
      </c>
      <c r="M11" s="3">
        <v>100.0</v>
      </c>
      <c r="N11" s="3">
        <v>47.0</v>
      </c>
      <c r="P11" s="3">
        <v>89.0</v>
      </c>
      <c r="Q11" s="3">
        <v>47.0</v>
      </c>
      <c r="R11" s="1"/>
      <c r="S11" s="3">
        <v>76.0</v>
      </c>
      <c r="T11" s="3">
        <v>43.0</v>
      </c>
      <c r="U11" s="1"/>
      <c r="V11" s="3">
        <v>56.0</v>
      </c>
      <c r="W11" s="3">
        <v>37.5</v>
      </c>
      <c r="X11" s="1"/>
      <c r="Y11" s="3">
        <v>40.5</v>
      </c>
      <c r="Z11" s="3">
        <v>30.0</v>
      </c>
      <c r="AA11" s="1"/>
      <c r="AB11" s="3">
        <v>-2.0</v>
      </c>
      <c r="AC11" s="3">
        <v>18.5</v>
      </c>
      <c r="AE11" s="3">
        <v>36.87</v>
      </c>
      <c r="AF11" s="3">
        <v>10.265</v>
      </c>
      <c r="AG11" s="1"/>
      <c r="AH11" s="3">
        <v>74.159</v>
      </c>
      <c r="AI11" s="3">
        <v>23.868</v>
      </c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-70.0</v>
      </c>
      <c r="B12" s="3">
        <v>-30.0</v>
      </c>
      <c r="D12" s="3">
        <v>111.139</v>
      </c>
      <c r="E12" s="3">
        <v>4.769</v>
      </c>
      <c r="G12" s="3">
        <v>115.103</v>
      </c>
      <c r="H12" s="3">
        <v>7.488</v>
      </c>
      <c r="J12" s="3">
        <v>155.5</v>
      </c>
      <c r="K12" s="3">
        <v>46.0</v>
      </c>
      <c r="M12" s="3">
        <v>101.0</v>
      </c>
      <c r="N12" s="3">
        <v>46.0</v>
      </c>
      <c r="P12" s="3">
        <v>96.01</v>
      </c>
      <c r="Q12" s="3">
        <v>47.0</v>
      </c>
      <c r="R12" s="1"/>
      <c r="S12" s="3">
        <v>82.5</v>
      </c>
      <c r="T12" s="3">
        <v>43.0</v>
      </c>
      <c r="U12" s="1"/>
      <c r="V12" s="3">
        <v>68.0</v>
      </c>
      <c r="W12" s="3">
        <v>37.5</v>
      </c>
      <c r="X12" s="1"/>
      <c r="Y12" s="3">
        <v>44.0</v>
      </c>
      <c r="Z12" s="3">
        <v>30.0</v>
      </c>
      <c r="AA12" s="1"/>
      <c r="AB12" s="3">
        <v>23.0</v>
      </c>
      <c r="AC12" s="3">
        <v>18.5</v>
      </c>
      <c r="AE12" s="3">
        <v>55.037</v>
      </c>
      <c r="AF12" s="3">
        <v>22.767</v>
      </c>
      <c r="AG12" s="1"/>
      <c r="AH12" s="3">
        <v>66.734</v>
      </c>
      <c r="AI12" s="3">
        <v>23.868</v>
      </c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-70.0</v>
      </c>
      <c r="B13" s="3">
        <v>-11.429</v>
      </c>
      <c r="D13" s="3">
        <v>86.672</v>
      </c>
      <c r="E13" s="3">
        <v>3.183</v>
      </c>
      <c r="G13" s="3">
        <v>49.746</v>
      </c>
      <c r="H13" s="3">
        <v>5.335</v>
      </c>
      <c r="J13" s="3">
        <v>155.5</v>
      </c>
      <c r="K13" s="3">
        <v>10.933</v>
      </c>
      <c r="M13" s="3">
        <v>107.511</v>
      </c>
      <c r="N13" s="3">
        <v>42.117</v>
      </c>
      <c r="P13" s="3">
        <v>103.165</v>
      </c>
      <c r="Q13" s="3">
        <v>42.117</v>
      </c>
      <c r="R13" s="1"/>
      <c r="S13" s="3">
        <v>84.102</v>
      </c>
      <c r="T13" s="3">
        <v>42.117</v>
      </c>
      <c r="U13" s="1"/>
      <c r="V13" s="3">
        <v>69.754</v>
      </c>
      <c r="W13" s="3">
        <v>36.957</v>
      </c>
      <c r="X13" s="1"/>
      <c r="Y13" s="3">
        <v>55.037</v>
      </c>
      <c r="Z13" s="3">
        <v>22.767</v>
      </c>
      <c r="AA13" s="1"/>
      <c r="AB13" s="3">
        <v>10.263</v>
      </c>
      <c r="AC13" s="3">
        <v>9.896</v>
      </c>
      <c r="AE13" s="3">
        <v>66.734</v>
      </c>
      <c r="AF13" s="3">
        <v>22.767</v>
      </c>
      <c r="AG13" s="1"/>
      <c r="AH13" s="3">
        <v>66.734</v>
      </c>
      <c r="AI13" s="3">
        <v>22.767</v>
      </c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-37.925</v>
      </c>
      <c r="B14" s="3">
        <v>-8.257</v>
      </c>
      <c r="D14" s="3">
        <v>31.51</v>
      </c>
      <c r="E14" s="3">
        <v>-1.914</v>
      </c>
      <c r="G14" s="3">
        <v>-3.377</v>
      </c>
      <c r="H14" s="3">
        <v>3.07</v>
      </c>
      <c r="J14" s="3">
        <v>84.954</v>
      </c>
      <c r="K14" s="3">
        <v>10.933</v>
      </c>
      <c r="M14" s="3">
        <v>103.165</v>
      </c>
      <c r="N14" s="3">
        <v>42.117</v>
      </c>
      <c r="P14" s="3">
        <v>84.102</v>
      </c>
      <c r="Q14" s="3">
        <v>42.117</v>
      </c>
      <c r="R14" s="1"/>
      <c r="S14" s="3">
        <v>92.786</v>
      </c>
      <c r="T14" s="3">
        <v>36.957</v>
      </c>
      <c r="U14" s="1"/>
      <c r="V14" s="3">
        <v>79.823</v>
      </c>
      <c r="W14" s="3">
        <v>30.287</v>
      </c>
      <c r="X14" s="1"/>
      <c r="Y14" s="3">
        <v>36.87</v>
      </c>
      <c r="Z14" s="3">
        <v>10.265</v>
      </c>
      <c r="AA14" s="1"/>
      <c r="AB14" s="3"/>
      <c r="AC14" s="3"/>
      <c r="AE14" s="3"/>
      <c r="AF14" s="3"/>
      <c r="AG14" s="1"/>
      <c r="AH14" s="3">
        <v>55.037</v>
      </c>
      <c r="AI14" s="3">
        <v>22.767</v>
      </c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31.51</v>
      </c>
      <c r="B15" s="3">
        <v>-1.914</v>
      </c>
      <c r="D15" s="3">
        <v>-37.925</v>
      </c>
      <c r="E15" s="3">
        <v>-8.257</v>
      </c>
      <c r="G15" s="3">
        <v>-55.142</v>
      </c>
      <c r="H15" s="3">
        <v>-1.008</v>
      </c>
      <c r="J15" s="3">
        <v>66.734</v>
      </c>
      <c r="K15" s="3">
        <v>22.767</v>
      </c>
      <c r="M15" s="3"/>
      <c r="N15" s="3"/>
      <c r="P15" s="3"/>
      <c r="Q15" s="3"/>
      <c r="R15" s="1"/>
      <c r="S15" s="3">
        <v>69.754</v>
      </c>
      <c r="T15" s="3">
        <v>36.957</v>
      </c>
      <c r="U15" s="1"/>
      <c r="V15" s="3">
        <v>64.72</v>
      </c>
      <c r="W15" s="3">
        <v>30.287</v>
      </c>
      <c r="X15" s="1"/>
      <c r="Y15" s="3">
        <v>10.263</v>
      </c>
      <c r="Z15" s="3">
        <v>9.896</v>
      </c>
      <c r="AA15" s="1"/>
      <c r="AB15" s="3"/>
      <c r="AC15" s="3"/>
      <c r="AE15" s="3"/>
      <c r="AF15" s="3"/>
      <c r="AG15" s="1"/>
      <c r="AH15" s="3">
        <v>44.0</v>
      </c>
      <c r="AI15" s="3">
        <v>30.0</v>
      </c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86.672</v>
      </c>
      <c r="B16" s="3">
        <v>3.183</v>
      </c>
      <c r="D16" s="3">
        <v>-70.0</v>
      </c>
      <c r="E16" s="3">
        <v>-11.429</v>
      </c>
      <c r="G16" s="3">
        <v>-70.0</v>
      </c>
      <c r="H16" s="3">
        <v>-2.367</v>
      </c>
      <c r="J16" s="3">
        <v>66.734</v>
      </c>
      <c r="K16" s="3">
        <v>23.868</v>
      </c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111.139</v>
      </c>
      <c r="B17" s="3">
        <v>4.769</v>
      </c>
      <c r="D17" s="3">
        <v>-70.0</v>
      </c>
      <c r="E17" s="3">
        <v>-2.367</v>
      </c>
      <c r="G17" s="3">
        <v>-70.0</v>
      </c>
      <c r="H17" s="3">
        <v>9.0</v>
      </c>
      <c r="J17" s="3">
        <v>74.159</v>
      </c>
      <c r="K17" s="3">
        <v>23.868</v>
      </c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>
        <v>-55.142</v>
      </c>
      <c r="E18" s="3">
        <v>-1.008</v>
      </c>
      <c r="G18" s="3">
        <v>-17.5</v>
      </c>
      <c r="H18" s="3">
        <v>9.0</v>
      </c>
      <c r="J18" s="3">
        <v>64.72</v>
      </c>
      <c r="K18" s="3">
        <v>30.287</v>
      </c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>
        <v>-3.377</v>
      </c>
      <c r="E19" s="3">
        <v>3.07</v>
      </c>
      <c r="G19" s="3">
        <v>10.263</v>
      </c>
      <c r="H19" s="3">
        <v>9.896</v>
      </c>
      <c r="J19" s="3">
        <v>79.823</v>
      </c>
      <c r="K19" s="3">
        <v>30.287</v>
      </c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>
        <v>49.746</v>
      </c>
      <c r="E20" s="3">
        <v>5.335</v>
      </c>
      <c r="G20" s="3">
        <v>36.87</v>
      </c>
      <c r="H20" s="3">
        <v>10.265</v>
      </c>
      <c r="J20" s="3">
        <v>69.754</v>
      </c>
      <c r="K20" s="3">
        <v>36.957</v>
      </c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>
        <v>115.103</v>
      </c>
      <c r="E21" s="3">
        <v>7.488</v>
      </c>
      <c r="G21" s="3">
        <v>84.954</v>
      </c>
      <c r="H21" s="3">
        <v>10.933</v>
      </c>
      <c r="J21" s="3">
        <v>92.786</v>
      </c>
      <c r="K21" s="3">
        <v>36.957</v>
      </c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>
        <v>84.102</v>
      </c>
      <c r="K22" s="3">
        <v>42.117</v>
      </c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>
        <v>103.165</v>
      </c>
      <c r="K23" s="3">
        <v>42.117</v>
      </c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>
        <v>107.511</v>
      </c>
      <c r="K24" s="3">
        <v>42.117</v>
      </c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phreatic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>
        <v>-70.0</v>
      </c>
      <c r="B5" s="3">
        <v>9.0</v>
      </c>
      <c r="D5" s="3"/>
      <c r="E5" s="3"/>
      <c r="G5" s="1" t="s">
        <v>18</v>
      </c>
      <c r="H5" t="s">
        <v>190</v>
      </c>
    </row>
    <row r="6" spans="1:8" x14ac:dyDescent="0.2">
      <c r="A6" s="3">
        <v>-17.5</v>
      </c>
      <c r="B6" s="3">
        <v>9.0</v>
      </c>
      <c r="D6" s="3"/>
      <c r="E6" s="3"/>
      <c r="G6" s="1" t="s">
        <v>191</v>
      </c>
      <c r="H6" t="s">
        <v>192</v>
      </c>
    </row>
    <row r="7" spans="1:8" x14ac:dyDescent="0.2">
      <c r="A7" s="3">
        <v>-1.769</v>
      </c>
      <c r="B7" s="3">
        <v>12.739</v>
      </c>
      <c r="D7" s="3"/>
      <c r="E7" s="3"/>
    </row>
    <row r="8" spans="1:8" x14ac:dyDescent="0.2">
      <c r="A8" s="3">
        <v>15.821</v>
      </c>
      <c r="B8" s="3">
        <v>13.65</v>
      </c>
      <c r="D8" s="3"/>
      <c r="E8" s="3"/>
    </row>
    <row r="9" spans="1:8" x14ac:dyDescent="0.2">
      <c r="A9" s="3">
        <v>80.77</v>
      </c>
      <c r="B9" s="3">
        <v>13.65</v>
      </c>
      <c r="D9" s="3"/>
      <c r="E9" s="3"/>
    </row>
    <row r="10" spans="1:8" x14ac:dyDescent="0.2">
      <c r="A10" s="3">
        <v>79.941</v>
      </c>
      <c r="B10" s="3">
        <v>16.754</v>
      </c>
      <c r="D10" s="3"/>
      <c r="E10" s="3"/>
    </row>
    <row r="11" spans="1:8" x14ac:dyDescent="0.2">
      <c r="A11" s="3">
        <v>82.344</v>
      </c>
      <c r="B11" s="3">
        <v>21.909</v>
      </c>
      <c r="D11" s="3"/>
      <c r="E11" s="3"/>
    </row>
    <row r="12" spans="1:8" x14ac:dyDescent="0.2">
      <c r="A12" s="3">
        <v>87.613</v>
      </c>
      <c r="B12" s="3">
        <v>28.198</v>
      </c>
      <c r="D12" s="3"/>
      <c r="E12" s="3"/>
    </row>
    <row r="13" spans="1:8" x14ac:dyDescent="0.2">
      <c r="A13" s="4">
        <v>94.921</v>
      </c>
      <c r="B13" s="4">
        <v>34.997</v>
      </c>
      <c r="D13" s="4"/>
      <c r="E13" s="4"/>
    </row>
    <row r="14" spans="1:8" x14ac:dyDescent="0.2">
      <c r="A14" s="4">
        <v>103.165</v>
      </c>
      <c r="B14" s="4">
        <v>40.181</v>
      </c>
      <c r="D14" s="4"/>
      <c r="E14" s="4"/>
    </row>
    <row r="15" spans="1:8" x14ac:dyDescent="0.2">
      <c r="A15" s="4">
        <v>106.171</v>
      </c>
      <c r="B15" s="4">
        <v>42.117</v>
      </c>
      <c r="D15" s="4"/>
      <c r="E15" s="4"/>
    </row>
    <row r="16" spans="1:8" x14ac:dyDescent="0.2">
      <c r="A16" s="4">
        <v>107.511</v>
      </c>
      <c r="B16" s="4">
        <v>42.117</v>
      </c>
      <c r="D16" s="4"/>
      <c r="E16" s="4"/>
    </row>
    <row r="17" spans="1:5" x14ac:dyDescent="0.2">
      <c r="A17" s="4">
        <v>116.167</v>
      </c>
      <c r="B17" s="4">
        <v>46.0</v>
      </c>
      <c r="D17" s="4"/>
      <c r="E17" s="4"/>
    </row>
    <row r="18" spans="1:5" x14ac:dyDescent="0.2">
      <c r="A18" s="4">
        <v>155.5</v>
      </c>
      <c r="B18" s="4">
        <v>46.0</v>
      </c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