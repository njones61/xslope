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04BD95E-2C21-0841-A7DF-ECBA420EAAD7}" xr6:coauthVersionLast="47" xr6:coauthVersionMax="47" xr10:uidLastSave="{00000000-0000-0000-0000-000000000000}"/>
  <bookViews>
    <workbookView xWindow="27680" yWindow="3200" windowWidth="3160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<sst xmlns="http://schemas.openxmlformats.org/spreadsheetml/2006/main" count="606" uniqueCount="323">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</sst>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217714</xdr:colOff>
      <xdr:row>1</xdr:row>
      <xdr:rowOff>54430</xdr:rowOff>
    </xdr:from>
    <xdr:to>
      <xdr:col>29</xdr:col>
      <xdr:colOff>444500</xdr:colOff>
      <xdr:row>25</xdr:row>
      <xdr:rowOff>18143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757571" y="254001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312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Upper embankment</t>
        </is>
      </c>
      <c r="C11" s="3">
        <v>21.9</v>
      </c>
      <c r="D11" s="3">
        <v>21.9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Lower embankment</t>
        </is>
      </c>
      <c r="C12" s="3">
        <v>17.2</v>
      </c>
      <c r="D12" s="3">
        <v>17.2</v>
      </c>
      <c r="E12" s="3" t="inlineStr">
        <is>
          <t>mc</t>
        </is>
      </c>
      <c r="F12" s="3">
        <v>0.0</v>
      </c>
      <c r="G12" s="3">
        <v>33.0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Clay 1</t>
        </is>
      </c>
      <c r="C13" s="3">
        <v>18.0</v>
      </c>
      <c r="D13" s="3">
        <v>18.0</v>
      </c>
      <c r="E13" s="3" t="inlineStr">
        <is>
          <t>mc</t>
        </is>
      </c>
      <c r="F13" s="3">
        <v>43.0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43.0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 t="inlineStr">
        <is>
          <t>Clay 2</t>
        </is>
      </c>
      <c r="C14" s="3">
        <v>16.6</v>
      </c>
      <c r="D14" s="3">
        <v>16.6</v>
      </c>
      <c r="E14" s="3" t="inlineStr">
        <is>
          <t>mc</t>
        </is>
      </c>
      <c r="F14" s="3">
        <v>31.0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31.0</v>
      </c>
      <c r="M14" s="3">
        <v>50000.0</v>
      </c>
      <c r="N14" s="3">
        <v>0.4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>
        <v>0.5</v>
      </c>
      <c r="AP14" s="3"/>
      <c r="AQ14" s="3"/>
    </row>
    <row r="15" spans="1:43" x14ac:dyDescent="0.2">
      <c r="A15" s="3">
        <v>5</v>
      </c>
      <c r="B15" s="3" t="inlineStr">
        <is>
          <t>Clay 3</t>
        </is>
      </c>
      <c r="C15" s="3">
        <v>13.5</v>
      </c>
      <c r="D15" s="3">
        <v>13.5</v>
      </c>
      <c r="E15" s="3" t="inlineStr">
        <is>
          <t>mc</t>
        </is>
      </c>
      <c r="F15" s="3">
        <v>30.0</v>
      </c>
      <c r="G15" s="3">
        <v>0.0</v>
      </c>
      <c r="H15" s="3">
        <v>0.0</v>
      </c>
      <c r="I15" s="3">
        <v>0.0</v>
      </c>
      <c r="J15" s="3">
        <v>0.0</v>
      </c>
      <c r="K15" s="3">
        <v>0.0</v>
      </c>
      <c r="L15" s="3">
        <v>30.0</v>
      </c>
      <c r="M15" s="3">
        <v>50000.0</v>
      </c>
      <c r="N15" s="3">
        <v>0.4</v>
      </c>
      <c r="O15" s="3" t="inlineStr">
        <is>
          <t>none</t>
        </is>
      </c>
      <c r="P15" s="3">
        <v>0.0</v>
      </c>
      <c r="Q15" s="3"/>
      <c r="R15" s="3"/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0.0</v>
      </c>
      <c r="AD15" s="3">
        <v>0.0</v>
      </c>
      <c r="AE15" s="3">
        <v>0.0</v>
      </c>
      <c r="AF15" s="3">
        <v>0.0</v>
      </c>
      <c r="AG15" s="3">
        <v>0.0</v>
      </c>
      <c r="AH15" s="3">
        <v>0.0</v>
      </c>
      <c r="AI15" s="3">
        <v>0.0</v>
      </c>
      <c r="AJ15" s="3" t="inlineStr">
        <is>
          <t>lf</t>
        </is>
      </c>
      <c r="AK15" s="3">
        <v>0.0</v>
      </c>
      <c r="AL15" s="3">
        <v>0.0</v>
      </c>
      <c r="AM15" s="3">
        <v>0.0</v>
      </c>
      <c r="AN15" s="3">
        <v>0.0</v>
      </c>
      <c r="AO15" s="3">
        <v>0.5</v>
      </c>
      <c r="AP15" s="3"/>
      <c r="AQ15" s="3"/>
    </row>
    <row r="16" spans="1:43" x14ac:dyDescent="0.2">
      <c r="A16" s="3">
        <v>6</v>
      </c>
      <c r="B16" s="3" t="inlineStr">
        <is>
          <t>Clay 4</t>
        </is>
      </c>
      <c r="C16" s="3">
        <v>17.0</v>
      </c>
      <c r="D16" s="3">
        <v>17.0</v>
      </c>
      <c r="E16" s="3" t="inlineStr">
        <is>
          <t>mc</t>
        </is>
      </c>
      <c r="F16" s="3">
        <v>32.0</v>
      </c>
      <c r="G16" s="3">
        <v>0.0</v>
      </c>
      <c r="H16" s="3">
        <v>0.0</v>
      </c>
      <c r="I16" s="3">
        <v>0.0</v>
      </c>
      <c r="J16" s="3">
        <v>0.0</v>
      </c>
      <c r="K16" s="3">
        <v>0.0</v>
      </c>
      <c r="L16" s="3">
        <v>32.0</v>
      </c>
      <c r="M16" s="3">
        <v>50000.0</v>
      </c>
      <c r="N16" s="3">
        <v>0.4</v>
      </c>
      <c r="O16" s="3" t="inlineStr">
        <is>
          <t>none</t>
        </is>
      </c>
      <c r="P16" s="3">
        <v>0.0</v>
      </c>
      <c r="Q16" s="3"/>
      <c r="R16" s="3"/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0.0</v>
      </c>
      <c r="AB16" s="3">
        <v>0.0</v>
      </c>
      <c r="AC16" s="3">
        <v>0.0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 t="inlineStr">
        <is>
          <t>lf</t>
        </is>
      </c>
      <c r="AK16" s="3">
        <v>0.0</v>
      </c>
      <c r="AL16" s="3">
        <v>0.0</v>
      </c>
      <c r="AM16" s="3">
        <v>0.0</v>
      </c>
      <c r="AN16" s="3">
        <v>0.0</v>
      </c>
      <c r="AO16" s="3">
        <v>0.5</v>
      </c>
      <c r="AP16" s="3"/>
      <c r="AQ16" s="3"/>
    </row>
    <row r="17" spans="1:43" x14ac:dyDescent="0.2">
      <c r="A17" s="3">
        <v>7</v>
      </c>
      <c r="B17" s="3" t="inlineStr">
        <is>
          <t>Clay 5</t>
        </is>
      </c>
      <c r="C17" s="3">
        <v>17.5</v>
      </c>
      <c r="D17" s="3">
        <v>17.5</v>
      </c>
      <c r="E17" s="3" t="inlineStr">
        <is>
          <t>mc</t>
        </is>
      </c>
      <c r="F17" s="3">
        <v>32.0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>
        <v>32.0</v>
      </c>
      <c r="M17" s="3">
        <v>50000.0</v>
      </c>
      <c r="N17" s="3">
        <v>0.4</v>
      </c>
      <c r="O17" s="3" t="inlineStr">
        <is>
          <t>none</t>
        </is>
      </c>
      <c r="P17" s="3">
        <v>0.0</v>
      </c>
      <c r="Q17" s="3"/>
      <c r="R17" s="3"/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0.0</v>
      </c>
      <c r="AB17" s="3">
        <v>0.0</v>
      </c>
      <c r="AC17" s="3">
        <v>0.0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 t="inlineStr">
        <is>
          <t>lf</t>
        </is>
      </c>
      <c r="AK17" s="3">
        <v>0.0</v>
      </c>
      <c r="AL17" s="3">
        <v>0.0</v>
      </c>
      <c r="AM17" s="3">
        <v>0.0</v>
      </c>
      <c r="AN17" s="3">
        <v>0.0</v>
      </c>
      <c r="AO17" s="3">
        <v>0.5</v>
      </c>
      <c r="AP17" s="3"/>
      <c r="AQ17" s="3"/>
    </row>
    <row r="18" spans="1:43" x14ac:dyDescent="0.2">
      <c r="A18" s="3">
        <v>8</v>
      </c>
      <c r="B18" s="3" t="inlineStr">
        <is>
          <t>Upper embankment (elastic face)</t>
        </is>
      </c>
      <c r="C18" s="3">
        <v>21.9</v>
      </c>
      <c r="D18" s="3">
        <v>21.9</v>
      </c>
      <c r="E18" s="3" t="inlineStr">
        <is>
          <t>mc</t>
        </is>
      </c>
      <c r="F18" s="3">
        <v>0.0</v>
      </c>
      <c r="G18" s="3">
        <v>35.0</v>
      </c>
      <c r="H18" s="3">
        <v>0.0</v>
      </c>
      <c r="I18" s="3">
        <v>0.0</v>
      </c>
      <c r="J18" s="3">
        <v>0.0</v>
      </c>
      <c r="K18" s="3">
        <v>0.0</v>
      </c>
      <c r="L18" s="3"/>
      <c r="M18" s="3">
        <v>50000.0</v>
      </c>
      <c r="N18" s="3">
        <v>0.4</v>
      </c>
      <c r="O18" s="3" t="inlineStr">
        <is>
          <t>none</t>
        </is>
      </c>
      <c r="P18" s="3">
        <v>0.0</v>
      </c>
      <c r="Q18" s="3"/>
      <c r="R18" s="3"/>
      <c r="S18" s="3">
        <v>0.0</v>
      </c>
      <c r="T18" s="3">
        <v>0.0</v>
      </c>
      <c r="U18" s="3">
        <v>0.0</v>
      </c>
      <c r="V18" s="3">
        <v>0.0</v>
      </c>
      <c r="W18" s="3">
        <v>0.0</v>
      </c>
      <c r="X18" s="3">
        <v>0.0</v>
      </c>
      <c r="Y18" s="3">
        <v>0.0</v>
      </c>
      <c r="Z18" s="3">
        <v>0.0</v>
      </c>
      <c r="AA18" s="3">
        <v>0.0</v>
      </c>
      <c r="AB18" s="3">
        <v>0.0</v>
      </c>
      <c r="AC18" s="3">
        <v>0.0</v>
      </c>
      <c r="AD18" s="3">
        <v>0.0</v>
      </c>
      <c r="AE18" s="3">
        <v>0.0</v>
      </c>
      <c r="AF18" s="3">
        <v>0.0</v>
      </c>
      <c r="AG18" s="3">
        <v>0.0</v>
      </c>
      <c r="AH18" s="3">
        <v>0.0</v>
      </c>
      <c r="AI18" s="3">
        <v>0.0</v>
      </c>
      <c r="AJ18" s="3" t="inlineStr">
        <is>
          <t>lf</t>
        </is>
      </c>
      <c r="AK18" s="3">
        <v>0.0</v>
      </c>
      <c r="AL18" s="3">
        <v>0.0</v>
      </c>
      <c r="AM18" s="3">
        <v>0.0</v>
      </c>
      <c r="AN18" s="3">
        <v>0.0</v>
      </c>
      <c r="AO18" s="3">
        <v>0.5</v>
      </c>
      <c r="AP18" s="3"/>
      <c r="AQ18" s="3"/>
    </row>
    <row r="19" spans="1:43" x14ac:dyDescent="0.2">
      <c r="A19" s="3">
        <v>9</v>
      </c>
      <c r="B19" s="3" t="inlineStr">
        <is>
          <t>Lower embankment (elastic face)</t>
        </is>
      </c>
      <c r="C19" s="3">
        <v>17.2</v>
      </c>
      <c r="D19" s="3">
        <v>17.2</v>
      </c>
      <c r="E19" s="3" t="inlineStr">
        <is>
          <t>mc</t>
        </is>
      </c>
      <c r="F19" s="3">
        <v>0.0</v>
      </c>
      <c r="G19" s="3">
        <v>33.0</v>
      </c>
      <c r="H19" s="3">
        <v>0.0</v>
      </c>
      <c r="I19" s="3">
        <v>0.0</v>
      </c>
      <c r="J19" s="3">
        <v>0.0</v>
      </c>
      <c r="K19" s="3">
        <v>0.0</v>
      </c>
      <c r="L19" s="3"/>
      <c r="M19" s="3">
        <v>50000.0</v>
      </c>
      <c r="N19" s="3">
        <v>0.4</v>
      </c>
      <c r="O19" s="3" t="inlineStr">
        <is>
          <t>none</t>
        </is>
      </c>
      <c r="P19" s="3">
        <v>0.0</v>
      </c>
      <c r="Q19" s="3"/>
      <c r="R19" s="3"/>
      <c r="S19" s="3">
        <v>0.0</v>
      </c>
      <c r="T19" s="3">
        <v>0.0</v>
      </c>
      <c r="U19" s="3">
        <v>0.0</v>
      </c>
      <c r="V19" s="3">
        <v>0.0</v>
      </c>
      <c r="W19" s="3">
        <v>0.0</v>
      </c>
      <c r="X19" s="3">
        <v>0.0</v>
      </c>
      <c r="Y19" s="3">
        <v>0.0</v>
      </c>
      <c r="Z19" s="3">
        <v>0.0</v>
      </c>
      <c r="AA19" s="3">
        <v>0.0</v>
      </c>
      <c r="AB19" s="3">
        <v>0.0</v>
      </c>
      <c r="AC19" s="3">
        <v>0.0</v>
      </c>
      <c r="AD19" s="3">
        <v>0.0</v>
      </c>
      <c r="AE19" s="3">
        <v>0.0</v>
      </c>
      <c r="AF19" s="3">
        <v>0.0</v>
      </c>
      <c r="AG19" s="3">
        <v>0.0</v>
      </c>
      <c r="AH19" s="3">
        <v>0.0</v>
      </c>
      <c r="AI19" s="3">
        <v>0.0</v>
      </c>
      <c r="AJ19" s="3" t="inlineStr">
        <is>
          <t>lf</t>
        </is>
      </c>
      <c r="AK19" s="3">
        <v>0.0</v>
      </c>
      <c r="AL19" s="3">
        <v>0.0</v>
      </c>
      <c r="AM19" s="3">
        <v>0.0</v>
      </c>
      <c r="AN19" s="3">
        <v>0.0</v>
      </c>
      <c r="AO19" s="3">
        <v>0.5</v>
      </c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inlineStr">
        <is>
          <t>Polygon #6</t>
        </is>
      </c>
      <c r="Q4" s="54"/>
      <c r="R4" s="1"/>
      <c r="S4" s="55" t="inlineStr">
        <is>
          <t>Polygon #7</t>
        </is>
      </c>
      <c r="T4" s="54"/>
      <c r="U4" s="1"/>
      <c r="V4" s="55" t="inlineStr">
        <is>
          <t>Polygon #8</t>
        </is>
      </c>
      <c r="W4" s="54"/>
      <c r="X4" s="1"/>
      <c r="Y4" s="55" t="inlineStr">
        <is>
          <t>Polygon #9</t>
        </is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inlineStr">
        <is>
          <t>material</t>
        </is>
      </c>
      <c r="R5" s="1"/>
      <c r="S5" s="38" t="s">
        <v>184</v>
      </c>
      <c r="T5" s="39" t="inlineStr">
        <is>
          <t>material</t>
        </is>
      </c>
      <c r="U5" s="1"/>
      <c r="V5" s="38" t="s">
        <v>184</v>
      </c>
      <c r="W5" s="39" t="inlineStr">
        <is>
          <t>material</t>
        </is>
      </c>
      <c r="X5" s="1"/>
      <c r="Y5" s="38" t="s">
        <v>184</v>
      </c>
      <c r="Z5" s="39" t="inlineStr">
        <is>
          <t>material</t>
        </is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-35.605</v>
      </c>
      <c r="B10" s="3">
        <v>4.0</v>
      </c>
      <c r="D10" s="3">
        <v>-2.2229</v>
      </c>
      <c r="E10" s="3">
        <v>1.0</v>
      </c>
      <c r="G10" s="3">
        <v>-1.0</v>
      </c>
      <c r="H10" s="3">
        <v>0.0</v>
      </c>
      <c r="J10" s="3">
        <v>40.0</v>
      </c>
      <c r="K10" s="3">
        <v>-1.0</v>
      </c>
      <c r="M10" s="3">
        <v>40.0</v>
      </c>
      <c r="N10" s="3">
        <v>-3.0</v>
      </c>
      <c r="P10" s="3">
        <v>40.0</v>
      </c>
      <c r="Q10" s="3">
        <v>-7.0</v>
      </c>
      <c r="R10" s="1"/>
      <c r="S10" s="3">
        <v>40.0</v>
      </c>
      <c r="T10" s="3">
        <v>-18.0</v>
      </c>
      <c r="U10" s="1"/>
      <c r="V10" s="3">
        <v>-1.23</v>
      </c>
      <c r="W10" s="3">
        <v>1.0</v>
      </c>
      <c r="X10" s="1"/>
      <c r="Y10" s="3">
        <v>0.0</v>
      </c>
      <c r="Z10" s="3">
        <v>0.0</v>
      </c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-29.7625</v>
      </c>
      <c r="B11" s="3">
        <v>8.75</v>
      </c>
      <c r="D11" s="3">
        <v>-1.0</v>
      </c>
      <c r="E11" s="3">
        <v>0.0</v>
      </c>
      <c r="G11" s="3">
        <v>0.0</v>
      </c>
      <c r="H11" s="3">
        <v>0.0</v>
      </c>
      <c r="J11" s="3">
        <v>40.0</v>
      </c>
      <c r="K11" s="3">
        <v>-3.0</v>
      </c>
      <c r="M11" s="3">
        <v>40.0</v>
      </c>
      <c r="N11" s="3">
        <v>-7.0</v>
      </c>
      <c r="P11" s="3">
        <v>40.0</v>
      </c>
      <c r="Q11" s="3">
        <v>-18.0</v>
      </c>
      <c r="R11" s="1"/>
      <c r="S11" s="3">
        <v>40.0</v>
      </c>
      <c r="T11" s="3">
        <v>-24.0</v>
      </c>
      <c r="U11" s="1"/>
      <c r="V11" s="3">
        <v>-10.7625</v>
      </c>
      <c r="W11" s="3">
        <v>8.75</v>
      </c>
      <c r="X11" s="1"/>
      <c r="Y11" s="3">
        <v>-1.23</v>
      </c>
      <c r="Z11" s="3">
        <v>1.0</v>
      </c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-11.7</v>
      </c>
      <c r="B12" s="3">
        <v>8.75</v>
      </c>
      <c r="D12" s="3">
        <v>-50.0</v>
      </c>
      <c r="E12" s="3">
        <v>0.0</v>
      </c>
      <c r="G12" s="3">
        <v>40.0</v>
      </c>
      <c r="H12" s="3">
        <v>0.0</v>
      </c>
      <c r="J12" s="3">
        <v>-50.0</v>
      </c>
      <c r="K12" s="3">
        <v>-3.0</v>
      </c>
      <c r="M12" s="3">
        <v>-50.0</v>
      </c>
      <c r="N12" s="3">
        <v>-7.0</v>
      </c>
      <c r="P12" s="3">
        <v>-50.0</v>
      </c>
      <c r="Q12" s="3">
        <v>-18.0</v>
      </c>
      <c r="R12" s="1"/>
      <c r="S12" s="3">
        <v>-50.0</v>
      </c>
      <c r="T12" s="3">
        <v>-24.0</v>
      </c>
      <c r="U12" s="1"/>
      <c r="V12" s="3">
        <v>-11.7</v>
      </c>
      <c r="W12" s="3">
        <v>8.75</v>
      </c>
      <c r="X12" s="1"/>
      <c r="Y12" s="3">
        <v>-2.2229</v>
      </c>
      <c r="Z12" s="3">
        <v>1.0</v>
      </c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-2.2229</v>
      </c>
      <c r="B13" s="3">
        <v>1.0</v>
      </c>
      <c r="D13" s="3">
        <v>-50.0</v>
      </c>
      <c r="E13" s="3">
        <v>1.0</v>
      </c>
      <c r="G13" s="3">
        <v>40.0</v>
      </c>
      <c r="H13" s="3">
        <v>-1.0</v>
      </c>
      <c r="J13" s="3">
        <v>-50.0</v>
      </c>
      <c r="K13" s="3">
        <v>-1.0</v>
      </c>
      <c r="M13" s="3">
        <v>-50.0</v>
      </c>
      <c r="N13" s="3">
        <v>-3.0</v>
      </c>
      <c r="P13" s="3">
        <v>-50.0</v>
      </c>
      <c r="Q13" s="3">
        <v>-7.0</v>
      </c>
      <c r="R13" s="1"/>
      <c r="S13" s="3">
        <v>-50.0</v>
      </c>
      <c r="T13" s="3">
        <v>-18.0</v>
      </c>
      <c r="U13" s="1"/>
      <c r="V13" s="3">
        <v>-2.2229</v>
      </c>
      <c r="W13" s="3">
        <v>1.0</v>
      </c>
      <c r="X13" s="1"/>
      <c r="Y13" s="3">
        <v>-1.0</v>
      </c>
      <c r="Z13" s="3">
        <v>0.0</v>
      </c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-50.0</v>
      </c>
      <c r="B14" s="3">
        <v>1.0</v>
      </c>
      <c r="D14" s="3"/>
      <c r="E14" s="3"/>
      <c r="G14" s="3">
        <v>-50.0</v>
      </c>
      <c r="H14" s="3">
        <v>-1.0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-50.0</v>
      </c>
      <c r="B15" s="3">
        <v>4.0</v>
      </c>
      <c r="D15" s="3"/>
      <c r="E15" s="3"/>
      <c r="G15" s="3">
        <v>-50.0</v>
      </c>
      <c r="H15" s="3">
        <v>0.0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-4.8</v>
      </c>
      <c r="C3" s="3">
        <v>14.0</v>
      </c>
      <c r="D3" s="3" t="inlineStr">
        <is>
          <t>Depth</t>
        </is>
      </c>
      <c r="E3" s="3">
        <v>-14.8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H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4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AF2" t="s">
        <v>257</v>
      </c>
      <c r="AG2" t="s">
        <v>258</v>
      </c>
      <c r="AH2" t="s">
        <v>259</v>
      </c>
    </row>
    <row r="3" spans="1:34" x14ac:dyDescent="0.2">
      <c r="A3" s="3">
        <v>1</v>
      </c>
      <c r="B3" s="3" t="inlineStr">
        <is>
          <t>geosynthetic</t>
        </is>
      </c>
      <c r="C3" s="3">
        <v>-50.0</v>
      </c>
      <c r="D3" s="3">
        <v>0.9</v>
      </c>
      <c r="E3" s="3">
        <v>-1.107</v>
      </c>
      <c r="F3" s="3">
        <v>0.9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200.0</v>
      </c>
      <c r="K3" s="3">
        <v>1.3</v>
      </c>
      <c r="L3" s="3">
        <v>1.3</v>
      </c>
      <c r="M3" s="3">
        <v>0.0</v>
      </c>
      <c r="N3" s="3">
        <v>30.96</v>
      </c>
      <c r="O3" s="3">
        <v>0.0</v>
      </c>
      <c r="P3" s="3">
        <v>0.0</v>
      </c>
      <c r="Q3" s="3">
        <v>1.0</v>
      </c>
      <c r="R3" s="3"/>
      <c r="S3" s="3">
        <v>2000000.0</v>
      </c>
      <c r="T3" s="3">
        <v>0.1</v>
      </c>
      <c r="U3" s="3" t="inlineStr">
        <is>
          <t>Yes</t>
        </is>
      </c>
      <c r="V3" s="3">
        <v>100000.0</v>
      </c>
      <c r="W3" s="3">
        <v>10000.0</v>
      </c>
      <c r="X3" s="3"/>
      <c r="AF3" t="s">
        <v>260</v>
      </c>
      <c r="AG3" t="s">
        <v>261</v>
      </c>
      <c r="AH3" t="s">
        <v>262</v>
      </c>
    </row>
    <row r="4" spans="1:34" x14ac:dyDescent="0.2">
      <c r="A4" s="3">
        <v>2</v>
      </c>
      <c r="B4" s="3"/>
      <c r="C4" s="3"/>
      <c r="D4" s="3"/>
      <c r="E4" s="3"/>
      <c r="F4" s="3"/>
      <c r="G4" s="3"/>
      <c r="H4" s="3" t="str">
        <f>IF($G4="","",IFERROR(VLOOKUP($G4,$AF$8:$AH$11,2,0),""))</f>
        <v/>
      </c>
      <c r="I4" s="3" t="str">
        <f>IF($G4="","",IFERROR(VLOOKUP($G4,$AF$8:$AH$11,3,0),""))</f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AF4" t="s">
        <v>263</v>
      </c>
    </row>
    <row r="5" spans="1:34" x14ac:dyDescent="0.2">
      <c r="A5" s="3">
        <v>3</v>
      </c>
      <c r="B5" s="3"/>
      <c r="C5" s="3"/>
      <c r="D5" s="3"/>
      <c r="E5" s="3"/>
      <c r="F5" s="3"/>
      <c r="G5" s="3"/>
      <c r="H5" s="3" t="str">
        <f>IF($G5="","",IFERROR(VLOOKUP($G5,$AF$8:$AH$11,2,0),""))</f>
        <v/>
      </c>
      <c r="I5" s="3" t="str">
        <f>IF($G5="","",IFERROR(VLOOKUP($G5,$AF$8:$AH$11,3,0),""))</f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F5" t="s">
        <v>264</v>
      </c>
    </row>
    <row r="6" spans="1:34" x14ac:dyDescent="0.2">
      <c r="A6" s="3">
        <v>4</v>
      </c>
      <c r="B6" s="3"/>
      <c r="C6" s="3"/>
      <c r="D6" s="3"/>
      <c r="E6" s="3"/>
      <c r="F6" s="3"/>
      <c r="G6" s="3"/>
      <c r="H6" s="3" t="str">
        <f>IF($G6="","",IFERROR(VLOOKUP($G6,$AF$8:$AH$11,2,0),""))</f>
        <v/>
      </c>
      <c r="I6" s="3" t="str">
        <f>IF($G6="","",IFERROR(VLOOKUP($G6,$AF$8:$AH$11,3,0),""))</f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4" x14ac:dyDescent="0.2">
      <c r="A7" s="3">
        <v>5</v>
      </c>
      <c r="B7" s="3"/>
      <c r="C7" s="3"/>
      <c r="D7" s="3"/>
      <c r="E7" s="3"/>
      <c r="F7" s="3"/>
      <c r="G7" s="3"/>
      <c r="H7" s="3" t="str">
        <f>IF($G7="","",IFERROR(VLOOKUP($G7,$AF$8:$AH$11,2,0),""))</f>
        <v/>
      </c>
      <c r="I7" s="3" t="str">
        <f>IF($G7="","",IFERROR(VLOOKUP($G7,$AF$8:$AH$11,3,0),""))</f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4" x14ac:dyDescent="0.2">
      <c r="A8" s="3">
        <v>6</v>
      </c>
      <c r="B8" s="3"/>
      <c r="C8" s="3"/>
      <c r="D8" s="3"/>
      <c r="E8" s="3"/>
      <c r="F8" s="3"/>
      <c r="G8" s="3"/>
      <c r="H8" s="3" t="str">
        <f>IF($G8="","",IFERROR(VLOOKUP($G8,$AF$8:$AH$11,2,0),""))</f>
        <v/>
      </c>
      <c r="I8" s="3" t="str">
        <f>IF($G8="","",IFERROR(VLOOKUP($G8,$AF$8:$AH$11,3,0),""))</f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F8" t="s">
        <v>257</v>
      </c>
      <c r="AG8" t="s">
        <v>258</v>
      </c>
      <c r="AH8" t="s">
        <v>259</v>
      </c>
    </row>
    <row r="9" spans="1:34" x14ac:dyDescent="0.2">
      <c r="A9" s="3">
        <v>7</v>
      </c>
      <c r="B9" s="3"/>
      <c r="C9" s="3"/>
      <c r="D9" s="3"/>
      <c r="E9" s="3"/>
      <c r="F9" s="3"/>
      <c r="G9" s="3"/>
      <c r="H9" s="3" t="str">
        <f>IF($G9="","",IFERROR(VLOOKUP($G9,$AF$8:$AH$11,2,0),""))</f>
        <v/>
      </c>
      <c r="I9" s="3" t="str">
        <f>IF($G9="","",IFERROR(VLOOKUP($G9,$AF$8:$AH$11,3,0),""))</f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F9" t="s">
        <v>260</v>
      </c>
      <c r="AG9" t="s">
        <v>261</v>
      </c>
      <c r="AH9" t="s">
        <v>262</v>
      </c>
    </row>
    <row r="10" spans="1:34" x14ac:dyDescent="0.2">
      <c r="A10" s="3">
        <v>8</v>
      </c>
      <c r="B10" s="3"/>
      <c r="C10" s="3"/>
      <c r="D10" s="3"/>
      <c r="E10" s="3"/>
      <c r="F10" s="3"/>
      <c r="G10" s="3"/>
      <c r="H10" s="3" t="str">
        <f>IF($G10="","",IFERROR(VLOOKUP($G10,$AF$8:$AH$11,2,0),""))</f>
        <v/>
      </c>
      <c r="I10" s="3" t="str">
        <f>IF($G10="","",IFERROR(VLOOKUP($G10,$AF$8:$AH$11,3,0),""))</f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F10" t="s">
        <v>263</v>
      </c>
      <c r="AG10" t="s">
        <v>261</v>
      </c>
      <c r="AH10" t="s">
        <v>259</v>
      </c>
    </row>
    <row r="11" spans="1:34" x14ac:dyDescent="0.2">
      <c r="A11" s="3">
        <v>9</v>
      </c>
      <c r="B11" s="3"/>
      <c r="C11" s="3"/>
      <c r="D11" s="3"/>
      <c r="E11" s="3"/>
      <c r="F11" s="3"/>
      <c r="G11" s="3"/>
      <c r="H11" s="3" t="str">
        <f>IF($G11="","",IFERROR(VLOOKUP($G11,$AF$8:$AH$11,2,0),""))</f>
        <v/>
      </c>
      <c r="I11" s="3" t="str">
        <f>IF($G11="","",IFERROR(VLOOKUP($G11,$AF$8:$AH$11,3,0),""))</f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F11" t="s">
        <v>264</v>
      </c>
      <c r="AG11" t="s">
        <v>261</v>
      </c>
      <c r="AH11" t="s">
        <v>259</v>
      </c>
    </row>
    <row r="12" spans="1:34" x14ac:dyDescent="0.2">
      <c r="A12" s="3">
        <v>10</v>
      </c>
      <c r="B12" s="3"/>
      <c r="C12" s="3"/>
      <c r="D12" s="3"/>
      <c r="E12" s="3"/>
      <c r="F12" s="3"/>
      <c r="G12" s="3"/>
      <c r="H12" s="3" t="str">
        <f>IF($G12="","",IFERROR(VLOOKUP($G12,$AF$8:$AH$11,2,0),""))</f>
        <v/>
      </c>
      <c r="I12" s="3" t="str">
        <f>IF($G12="","",IFERROR(VLOOKUP($G12,$AF$8:$AH$11,3,0),""))</f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4" x14ac:dyDescent="0.2">
      <c r="A13" s="3">
        <v>11</v>
      </c>
      <c r="B13" s="3"/>
      <c r="C13" s="3"/>
      <c r="D13" s="3"/>
      <c r="E13" s="3"/>
      <c r="F13" s="3"/>
      <c r="G13" s="3"/>
      <c r="H13" s="3" t="str">
        <f>IF($G13="","",IFERROR(VLOOKUP($G13,$AF$8:$AH$11,2,0),""))</f>
        <v/>
      </c>
      <c r="I13" s="3" t="str">
        <f>IF($G13="","",IFERROR(VLOOKUP($G13,$AF$8:$AH$11,3,0),""))</f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4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IF($G14="","",IFERROR(VLOOKUP($G14,$AF$8:$AH$11,2,0),""))</f>
        <v/>
      </c>
      <c r="I14" s="3" t="str">
        <f>IF($G14="","",IFERROR(VLOOKUP($G14,$AF$8:$AH$11,3,0),""))</f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4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IF($G15="","",IFERROR(VLOOKUP($G15,$AF$8:$AH$11,2,0),""))</f>
        <v/>
      </c>
      <c r="I15" s="3" t="str">
        <f>IF($G15="","",IFERROR(VLOOKUP($G15,$AF$8:$AH$11,3,0),""))</f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4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IF($G16="","",IFERROR(VLOOKUP($G16,$AF$8:$AH$11,2,0),""))</f>
        <v/>
      </c>
      <c r="I16" s="3" t="str">
        <f>IF($G16="","",IFERROR(VLOOKUP($G16,$AF$8:$AH$11,3,0),""))</f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7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IF($G17="","",IFERROR(VLOOKUP($G17,$AF$8:$AH$11,2,0),""))</f>
        <v/>
      </c>
      <c r="I17" s="3" t="str">
        <f>IF($G17="","",IFERROR(VLOOKUP($G17,$AF$8:$AH$11,3,0),""))</f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7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IF($G18="","",IFERROR(VLOOKUP($G18,$AF$8:$AH$11,2,0),""))</f>
        <v/>
      </c>
      <c r="I18" s="3" t="str">
        <f>IF($G18="","",IFERROR(VLOOKUP($G18,$AF$8:$AH$11,3,0),""))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7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IF($G19="","",IFERROR(VLOOKUP($G19,$AF$8:$AH$11,2,0),""))</f>
        <v/>
      </c>
      <c r="I19" s="3" t="str">
        <f>IF($G19="","",IFERROR(VLOOKUP($G19,$AF$8:$AH$11,3,0),""))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7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IF($G20="","",IFERROR(VLOOKUP($G20,$AF$8:$AH$11,2,0),""))</f>
        <v/>
      </c>
      <c r="I20" s="3" t="str">
        <f>IF($G20="","",IFERROR(VLOOKUP($G20,$AF$8:$AH$11,3,0),""))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7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IF($G21="","",IFERROR(VLOOKUP($G21,$AF$8:$AH$11,2,0),""))</f>
        <v/>
      </c>
      <c r="I21" s="3" t="str">
        <f>IF($G21="","",IFERROR(VLOOKUP($G21,$AF$8:$AH$11,3,0),""))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7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IF($G22="","",IFERROR(VLOOKUP($G22,$AF$8:$AH$11,2,0),""))</f>
        <v/>
      </c>
      <c r="I22" s="3" t="str">
        <f>IF($G22="","",IFERROR(VLOOKUP($G22,$AF$8:$AH$11,3,0),""))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4" spans="1:27" x14ac:dyDescent="0.2">
      <c r="K24" s="9"/>
      <c r="L24" s="9"/>
    </row>
    <row r="25" spans="1:27" x14ac:dyDescent="0.2">
      <c r="K25" s="9"/>
      <c r="L25" s="9"/>
    </row>
    <row r="27" spans="1:27" x14ac:dyDescent="0.2">
      <c r="Z27" s="42"/>
      <c r="AA27" t="s">
        <v>91</v>
      </c>
    </row>
    <row r="28" spans="1:27" x14ac:dyDescent="0.2">
      <c r="Z28" s="26"/>
      <c r="AA28" s="9" t="s">
        <v>96</v>
      </c>
    </row>
    <row r="29" spans="1:27" x14ac:dyDescent="0.2">
      <c r="Z29" s="29"/>
      <c r="AA29" s="9" t="s">
        <v>103</v>
      </c>
    </row>
  </sheetData>
  <conditionalFormatting sqref="K3:L22">
    <cfRule type="expression" dxfId="1" priority="1">
      <formula>$U3="Yes"</formula>
    </cfRule>
  </conditionalFormatting>
  <conditionalFormatting sqref="V3:X22">
    <cfRule type="expression" dxfId="0" priority="4">
      <formula>$U3&lt;&gt;"Yes"</formula>
    </cfRule>
  </conditionalFormatting>
  <dataValidations count="4">
    <dataValidation type="list" allowBlank="1" showInputMessage="1" showErrorMessage="1" sqref="G3:G22" xr:uid="{00000000-0002-0000-0900-000000000000}">
      <formula1>$AF$2:$AF$5</formula1>
    </dataValidation>
    <dataValidation type="list" allowBlank="1" showInputMessage="1" showErrorMessage="1" sqref="H3:H22" xr:uid="{00000000-0002-0000-0900-000001000000}">
      <formula1>$AG$2:$AG$3</formula1>
    </dataValidation>
    <dataValidation type="list" allowBlank="1" showInputMessage="1" showErrorMessage="1" sqref="I3:I22" xr:uid="{00000000-0002-0000-0900-000002000000}">
      <formula1>$AH$2:$AH$3</formula1>
    </dataValidation>
    <dataValidation type="list" allowBlank="1" showInputMessage="1" showErrorMessage="1" sqref="U3:U22 X3:X2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2026-09-09T15:07:39Z</dcterms:modified>
</cp:coreProperties>
</file>