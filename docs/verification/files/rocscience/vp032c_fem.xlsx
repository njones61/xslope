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<sst xmlns="http://schemas.openxmlformats.org/spreadsheetml/2006/main" count="606" uniqueCount="323">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</sst>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>
        <v>0.5</v>
      </c>
      <c r="AP15" s="3"/>
      <c r="AQ15" s="3"/>
    </row>
    <row r="16" spans="1:43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>
        <v>0.5</v>
      </c>
      <c r="AP16" s="3"/>
      <c r="AQ16" s="3"/>
    </row>
    <row r="17" spans="1:43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>
        <v>0.5</v>
      </c>
      <c r="AP17" s="3"/>
      <c r="AQ17" s="3"/>
    </row>
    <row r="18" spans="1:43" x14ac:dyDescent="0.2">
      <c r="A18" s="3">
        <v>8</v>
      </c>
      <c r="B18" s="3" t="inlineStr">
        <is>
          <t>Upper embankment (elastic face)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>
        <v>0.5</v>
      </c>
      <c r="AP18" s="3"/>
      <c r="AQ18" s="3"/>
    </row>
    <row r="19" spans="1:43" x14ac:dyDescent="0.2">
      <c r="A19" s="3">
        <v>9</v>
      </c>
      <c r="B19" s="3" t="inlineStr">
        <is>
          <t>Lower embankment (elastic face)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0.0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>
        <v>0.5</v>
      </c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-35.605</v>
      </c>
      <c r="B10" s="3">
        <v>4.0</v>
      </c>
      <c r="D10" s="3">
        <v>-2.2229</v>
      </c>
      <c r="E10" s="3">
        <v>1.0</v>
      </c>
      <c r="G10" s="3">
        <v>-1.0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1"/>
      <c r="S10" s="3">
        <v>40.0</v>
      </c>
      <c r="T10" s="3">
        <v>-18.0</v>
      </c>
      <c r="U10" s="1"/>
      <c r="V10" s="3">
        <v>-1.23</v>
      </c>
      <c r="W10" s="3">
        <v>1.0</v>
      </c>
      <c r="X10" s="1"/>
      <c r="Y10" s="3">
        <v>0.0</v>
      </c>
      <c r="Z10" s="3">
        <v>0.0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-29.7625</v>
      </c>
      <c r="B11" s="3">
        <v>8.75</v>
      </c>
      <c r="D11" s="3">
        <v>-1.0</v>
      </c>
      <c r="E11" s="3">
        <v>0.0</v>
      </c>
      <c r="G11" s="3">
        <v>0.0</v>
      </c>
      <c r="H11" s="3">
        <v>0.0</v>
      </c>
      <c r="J11" s="3">
        <v>40.0</v>
      </c>
      <c r="K11" s="3">
        <v>-3.0</v>
      </c>
      <c r="M11" s="3">
        <v>40.0</v>
      </c>
      <c r="N11" s="3">
        <v>-7.0</v>
      </c>
      <c r="P11" s="3">
        <v>40.0</v>
      </c>
      <c r="Q11" s="3">
        <v>-18.0</v>
      </c>
      <c r="R11" s="1"/>
      <c r="S11" s="3">
        <v>40.0</v>
      </c>
      <c r="T11" s="3">
        <v>-24.0</v>
      </c>
      <c r="U11" s="1"/>
      <c r="V11" s="3">
        <v>-10.7625</v>
      </c>
      <c r="W11" s="3">
        <v>8.75</v>
      </c>
      <c r="X11" s="1"/>
      <c r="Y11" s="3">
        <v>-1.23</v>
      </c>
      <c r="Z11" s="3">
        <v>1.0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-11.7</v>
      </c>
      <c r="B12" s="3">
        <v>8.75</v>
      </c>
      <c r="D12" s="3">
        <v>-50.0</v>
      </c>
      <c r="E12" s="3">
        <v>0.0</v>
      </c>
      <c r="G12" s="3">
        <v>40.0</v>
      </c>
      <c r="H12" s="3">
        <v>0.0</v>
      </c>
      <c r="J12" s="3">
        <v>-50.0</v>
      </c>
      <c r="K12" s="3">
        <v>-3.0</v>
      </c>
      <c r="M12" s="3">
        <v>-50.0</v>
      </c>
      <c r="N12" s="3">
        <v>-7.0</v>
      </c>
      <c r="P12" s="3">
        <v>-50.0</v>
      </c>
      <c r="Q12" s="3">
        <v>-18.0</v>
      </c>
      <c r="R12" s="1"/>
      <c r="S12" s="3">
        <v>-50.0</v>
      </c>
      <c r="T12" s="3">
        <v>-24.0</v>
      </c>
      <c r="U12" s="1"/>
      <c r="V12" s="3">
        <v>-11.7</v>
      </c>
      <c r="W12" s="3">
        <v>8.75</v>
      </c>
      <c r="X12" s="1"/>
      <c r="Y12" s="3">
        <v>-2.2229</v>
      </c>
      <c r="Z12" s="3">
        <v>1.0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-2.2229</v>
      </c>
      <c r="B13" s="3">
        <v>1.0</v>
      </c>
      <c r="D13" s="3">
        <v>-50.0</v>
      </c>
      <c r="E13" s="3">
        <v>1.0</v>
      </c>
      <c r="G13" s="3">
        <v>40.0</v>
      </c>
      <c r="H13" s="3">
        <v>-1.0</v>
      </c>
      <c r="J13" s="3">
        <v>-50.0</v>
      </c>
      <c r="K13" s="3">
        <v>-1.0</v>
      </c>
      <c r="M13" s="3">
        <v>-50.0</v>
      </c>
      <c r="N13" s="3">
        <v>-3.0</v>
      </c>
      <c r="P13" s="3">
        <v>-50.0</v>
      </c>
      <c r="Q13" s="3">
        <v>-7.0</v>
      </c>
      <c r="R13" s="1"/>
      <c r="S13" s="3">
        <v>-50.0</v>
      </c>
      <c r="T13" s="3">
        <v>-18.0</v>
      </c>
      <c r="U13" s="1"/>
      <c r="V13" s="3">
        <v>-2.2229</v>
      </c>
      <c r="W13" s="3">
        <v>1.0</v>
      </c>
      <c r="X13" s="1"/>
      <c r="Y13" s="3">
        <v>-1.0</v>
      </c>
      <c r="Z13" s="3">
        <v>0.0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-50.0</v>
      </c>
      <c r="B14" s="3">
        <v>1.0</v>
      </c>
      <c r="D14" s="3"/>
      <c r="E14" s="3"/>
      <c r="G14" s="3">
        <v>-50.0</v>
      </c>
      <c r="H14" s="3">
        <v>-1.0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-50.0</v>
      </c>
      <c r="B15" s="3">
        <v>4.0</v>
      </c>
      <c r="D15" s="3"/>
      <c r="E15" s="3"/>
      <c r="G15" s="3">
        <v>-50.0</v>
      </c>
      <c r="H15" s="3">
        <v>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30.96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IF($G4="","",IFERROR(VLOOKUP($G4,$AF$8:$AH$11,2,0),""))</f>
        <v/>
      </c>
      <c r="I4" s="3" t="str">
        <f>IF($G4="","",IFERROR(VLOOKUP($G4,$AF$8:$AH$11,3,0),""))</f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AF4" t="s">
        <v>263</v>
      </c>
    </row>
    <row r="5" spans="1:34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IF($G5="","",IFERROR(VLOOKUP($G5,$AF$8:$AH$11,2,0),""))</f>
        <v/>
      </c>
      <c r="I5" s="3" t="str">
        <f>IF($G5="","",IFERROR(VLOOKUP($G5,$AF$8:$AH$11,3,0),""))</f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F5" t="s">
        <v>264</v>
      </c>
    </row>
    <row r="6" spans="1:34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IF($G6="","",IFERROR(VLOOKUP($G6,$AF$8:$AH$11,2,0),""))</f>
        <v/>
      </c>
      <c r="I6" s="3" t="str">
        <f>IF($G6="","",IFERROR(VLOOKUP($G6,$AF$8:$AH$11,3,0),""))</f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4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IF($G7="","",IFERROR(VLOOKUP($G7,$AF$8:$AH$11,2,0),""))</f>
        <v/>
      </c>
      <c r="I7" s="3" t="str">
        <f>IF($G7="","",IFERROR(VLOOKUP($G7,$AF$8:$AH$11,3,0),""))</f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4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IF($G8="","",IFERROR(VLOOKUP($G8,$AF$8:$AH$11,2,0),""))</f>
        <v/>
      </c>
      <c r="I8" s="3" t="str">
        <f>IF($G8="","",IFERROR(VLOOKUP($G8,$AF$8:$AH$11,3,0),""))</f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IF($G9="","",IFERROR(VLOOKUP($G9,$AF$8:$AH$11,2,0),""))</f>
        <v/>
      </c>
      <c r="I9" s="3" t="str">
        <f>IF($G9="","",IFERROR(VLOOKUP($G9,$AF$8:$AH$11,3,0),""))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IF($G10="","",IFERROR(VLOOKUP($G10,$AF$8:$AH$11,2,0),""))</f>
        <v/>
      </c>
      <c r="I10" s="3" t="str">
        <f>IF($G10="","",IFERROR(VLOOKUP($G10,$AF$8:$AH$11,3,0),""))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IF($G11="","",IFERROR(VLOOKUP($G11,$AF$8:$AH$11,2,0),""))</f>
        <v/>
      </c>
      <c r="I11" s="3" t="str">
        <f>IF($G11="","",IFERROR(VLOOKUP($G11,$AF$8:$AH$11,3,0),""))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IF($G12="","",IFERROR(VLOOKUP($G12,$AF$8:$AH$11,2,0),""))</f>
        <v/>
      </c>
      <c r="I12" s="3" t="str">
        <f>IF($G12="","",IFERROR(VLOOKUP($G12,$AF$8:$AH$11,3,0),""))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4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IF($G13="","",IFERROR(VLOOKUP($G13,$AF$8:$AH$11,2,0),""))</f>
        <v/>
      </c>
      <c r="I13" s="3" t="str">
        <f>IF($G13="","",IFERROR(VLOOKUP($G13,$AF$8:$AH$11,3,0),""))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4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IF($G14="","",IFERROR(VLOOKUP($G14,$AF$8:$AH$11,2,0),""))</f>
        <v/>
      </c>
      <c r="I14" s="3" t="str">
        <f>IF($G14="","",IFERROR(VLOOKUP($G14,$AF$8:$AH$11,3,0),""))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4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IF($G15="","",IFERROR(VLOOKUP($G15,$AF$8:$AH$11,2,0),""))</f>
        <v/>
      </c>
      <c r="I15" s="3" t="str">
        <f>IF($G15="","",IFERROR(VLOOKUP($G15,$AF$8:$AH$11,3,0),""))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4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IF($G16="","",IFERROR(VLOOKUP($G16,$AF$8:$AH$11,2,0),""))</f>
        <v/>
      </c>
      <c r="I16" s="3" t="str">
        <f>IF($G16="","",IFERROR(VLOOKUP($G16,$AF$8:$AH$11,3,0),""))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7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IF($G17="","",IFERROR(VLOOKUP($G17,$AF$8:$AH$11,2,0),""))</f>
        <v/>
      </c>
      <c r="I17" s="3" t="str">
        <f>IF($G17="","",IFERROR(VLOOKUP($G17,$AF$8:$AH$11,3,0),""))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