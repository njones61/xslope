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Amherst Clay</t>
        </is>
      </c>
      <c r="C11" s="3">
        <v>18.9</v>
      </c>
      <c r="D11" s="3" t="n"/>
      <c r="E11" s="3" t="inlineStr">
        <is>
          <t>mc</t>
        </is>
      </c>
      <c r="F11" s="3">
        <v>25.0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32000.0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-2.0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-6.0</v>
      </c>
      <c r="B9" s="3">
        <v>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0.0</v>
      </c>
      <c r="B10" s="3">
        <v>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0.001</v>
      </c>
      <c r="B11" s="3">
        <v>6.0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11.0</v>
      </c>
      <c r="B12" s="3">
        <v>6.0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>
        <v>-0.3</v>
      </c>
      <c r="B3" s="3">
        <v>0.21</v>
      </c>
      <c r="C3" s="3" t="inlineStr">
        <is>
          <t>Free</t>
        </is>
      </c>
      <c r="E3" t="inlineStr">
        <is>
          <t>Free</t>
        </is>
      </c>
      <c r="F3" t="inlineStr">
        <is>
          <t>Unrestricted movement</t>
        </is>
      </c>
    </row>
    <row r="4">
      <c r="A4" s="3">
        <v>0.0</v>
      </c>
      <c r="B4" s="3">
        <v>0.0</v>
      </c>
      <c r="C4" s="3" t="inlineStr">
        <is>
          <t>Free</t>
        </is>
      </c>
      <c r="E4" t="inlineStr">
        <is>
          <t>Horiz</t>
        </is>
      </c>
      <c r="F4" t="inlineStr">
        <is>
          <t>Horizontal only</t>
        </is>
      </c>
    </row>
    <row r="5">
      <c r="A5" s="3">
        <v>6.1056443578</v>
      </c>
      <c r="B5" s="3">
        <v>6.0</v>
      </c>
      <c r="C5" s="3" t="inlineStr">
        <is>
          <t>Free</t>
        </is>
      </c>
      <c r="E5" t="inlineStr">
        <is>
          <t>Fixed</t>
        </is>
      </c>
      <c r="F5" t="inlineStr">
        <is>
          <t>Does not move</t>
        </is>
      </c>
    </row>
    <row r="6">
      <c r="A6" s="3">
        <v>6.4056443578</v>
      </c>
      <c r="B6" s="3">
        <v>6.21</v>
      </c>
      <c r="C6" s="3" t="inlineStr">
        <is>
          <t>Free</t>
        </is>
      </c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>
        <v>1</v>
      </c>
      <c r="B3" s="3" t="inlineStr">
        <is>
          <t>Nail row 1</t>
        </is>
      </c>
      <c r="C3" s="3">
        <v>0.001</v>
      </c>
      <c r="D3" s="3">
        <v>5.0</v>
      </c>
      <c r="E3" s="3">
        <v>4.6054938419</v>
      </c>
      <c r="F3" s="3">
        <v>3.3241012977</v>
      </c>
      <c r="G3" s="3" t="inlineStr">
        <is>
          <t>Nail</t>
        </is>
      </c>
      <c r="H3" s="3">
        <f>IF($G3="","",IFERROR(VLOOKUP($G3,$Z$8:$AB$11,2,0),""))</f>
        <v/>
      </c>
      <c r="I3" s="3">
        <f>IF($G3="","",IFERROR(VLOOKUP($G3,$Z$8:$AB$11,3,0),""))</f>
        <v/>
      </c>
      <c r="J3" s="3">
        <v>118.0</v>
      </c>
      <c r="K3" s="3">
        <v>7.8666666667</v>
      </c>
      <c r="L3" s="3">
        <v>7.8666666667</v>
      </c>
      <c r="M3" s="3">
        <v>86.0</v>
      </c>
      <c r="N3" s="3">
        <v>0.0</v>
      </c>
      <c r="O3" s="3">
        <v>1.5</v>
      </c>
      <c r="P3" s="3"/>
      <c r="Q3" s="3"/>
      <c r="R3" s="3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>
        <v>2</v>
      </c>
      <c r="B4" s="3" t="inlineStr">
        <is>
          <t>Nail row 2</t>
        </is>
      </c>
      <c r="C4" s="3">
        <v>0.001</v>
      </c>
      <c r="D4" s="3">
        <v>3.5</v>
      </c>
      <c r="E4" s="3">
        <v>4.6054938419</v>
      </c>
      <c r="F4" s="3">
        <v>1.8241012977</v>
      </c>
      <c r="G4" s="3" t="inlineStr">
        <is>
          <t>Nail</t>
        </is>
      </c>
      <c r="H4" s="3">
        <f>IF($G4="","",IFERROR(VLOOKUP($G4,$Z$8:$AB$11,2,0),""))</f>
        <v/>
      </c>
      <c r="I4" s="3">
        <f>IF($G4="","",IFERROR(VLOOKUP($G4,$Z$8:$AB$11,3,0),""))</f>
        <v/>
      </c>
      <c r="J4" s="3">
        <v>118.0</v>
      </c>
      <c r="K4" s="3">
        <v>7.8666666667</v>
      </c>
      <c r="L4" s="3">
        <v>7.8666666667</v>
      </c>
      <c r="M4" s="3">
        <v>86.0</v>
      </c>
      <c r="N4" s="3">
        <v>0.0</v>
      </c>
      <c r="O4" s="3">
        <v>1.5</v>
      </c>
      <c r="P4" s="3"/>
      <c r="Q4" s="3"/>
      <c r="R4" s="3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>
        <v>1</v>
      </c>
      <c r="B3" s="3" t="inlineStr">
        <is>
          <t>shotcrete</t>
        </is>
      </c>
      <c r="C3" s="3">
        <v>0.3</v>
      </c>
      <c r="D3" s="3">
        <v>6.0</v>
      </c>
      <c r="E3" s="3">
        <v>14.6</v>
      </c>
      <c r="F3" s="3">
        <v>-90.0</v>
      </c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