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<sst xmlns="http://schemas.openxmlformats.org/spreadsheetml/2006/main" count="624" uniqueCount="329">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</sst>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Amherst Clay</t>
        </is>
      </c>
      <c r="C11" s="3">
        <v>18.9</v>
      </c>
      <c r="D11" s="3"/>
      <c r="E11" s="3" t="inlineStr">
        <is>
          <t>mc</t>
        </is>
      </c>
      <c r="F11" s="3">
        <v>25.0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-6.0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0.001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11.0</v>
      </c>
      <c r="B12" s="3">
        <v>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-0.3</v>
      </c>
      <c r="B3" s="3">
        <v>0.21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0.0</v>
      </c>
      <c r="B4" s="3">
        <v>0.0</v>
      </c>
      <c r="C4" s="3" t="inlineStr">
        <is>
          <t>Free</t>
        </is>
      </c>
      <c r="E4" t="s">
        <v>223</v>
      </c>
      <c r="F4" t="s">
        <v>224</v>
      </c>
    </row>
    <row r="5" spans="1:6" x14ac:dyDescent="0.2">
      <c r="A5" s="3">
        <v>6.1056443578</v>
      </c>
      <c r="B5" s="3">
        <v>6.0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>
        <v>6.4056443578</v>
      </c>
      <c r="B6" s="3">
        <v>6.21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Nail row 1</t>
        </is>
      </c>
      <c r="C3" s="3">
        <v>0.001</v>
      </c>
      <c r="D3" s="3">
        <v>5.0</v>
      </c>
      <c r="E3" s="3">
        <v>4.6054938419</v>
      </c>
      <c r="F3" s="3">
        <v>3.3241012977</v>
      </c>
      <c r="G3" s="3" t="inlineStr">
        <is>
          <t>Nail</t>
        </is>
      </c>
      <c r="H3" s="3" t="str">
        <f>IF($G3="","",IFERROR(VLOOKUP($G3,$AH$8:$AJ$11,2,0),""))</f>
        <v>Axial</v>
      </c>
      <c r="I3" s="3" t="str">
        <f t="shared" ref="I3:I32" si="1">IF($G3="","",IFERROR(VLOOKUP($G3,$AH$8:$AJ$11,3,0),""))</f>
        <v>Passive</v>
      </c>
      <c r="J3" s="3">
        <v>118.0</v>
      </c>
      <c r="K3" s="3">
        <v>7.8666666667</v>
      </c>
      <c r="L3" s="3">
        <v>7.8666666667</v>
      </c>
      <c r="M3" s="3"/>
      <c r="N3" s="3"/>
      <c r="O3" s="3">
        <v>86.0</v>
      </c>
      <c r="P3" s="3">
        <v>0.0</v>
      </c>
      <c r="Q3" s="3">
        <v>1.5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Nail row 2</t>
        </is>
      </c>
      <c r="C4" s="3">
        <v>0.001</v>
      </c>
      <c r="D4" s="3">
        <v>3.5</v>
      </c>
      <c r="E4" s="3">
        <v>4.6054938419</v>
      </c>
      <c r="F4" s="3">
        <v>1.8241012977</v>
      </c>
      <c r="G4" s="3" t="inlineStr">
        <is>
          <t>Nail</t>
        </is>
      </c>
      <c r="H4" s="3" t="str">
        <f>IF($G4="","",IFERROR(VLOOKUP($G4,$AH$8:$AJ$11,2,0),""))</f>
        <v>Axial</v>
      </c>
      <c r="I4" s="3" t="str">
        <f t="shared" si="1"/>
        <v>Passive</v>
      </c>
      <c r="J4" s="3">
        <v>118.0</v>
      </c>
      <c r="K4" s="3">
        <v>7.8666666667</v>
      </c>
      <c r="L4" s="3">
        <v>7.8666666667</v>
      </c>
      <c r="M4" s="3"/>
      <c r="N4" s="3"/>
      <c r="O4" s="3">
        <v>86.0</v>
      </c>
      <c r="P4" s="3">
        <v>0.0</v>
      </c>
      <c r="Q4" s="3">
        <v>1.5</v>
      </c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 t="inlineStr">
        <is>
          <t>shotcrete</t>
        </is>
      </c>
      <c r="C3" s="3">
        <v>0.3</v>
      </c>
      <c r="D3" s="3">
        <v>6.0</v>
      </c>
      <c r="E3" s="3">
        <v>14.6</v>
      </c>
      <c r="F3" s="3">
        <v>-90.0</v>
      </c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