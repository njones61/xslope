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Fontainebleau Sand</t>
        </is>
      </c>
      <c r="C11" s="3">
        <v>20.0</v>
      </c>
      <c r="D11" s="3" t="n"/>
      <c r="E11" s="3" t="inlineStr">
        <is>
          <t>mc</t>
        </is>
      </c>
      <c r="F11" s="3">
        <v>3.0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12.0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12.001</v>
      </c>
      <c r="B11" s="3">
        <v>1.0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6.7985472325</v>
      </c>
      <c r="B3" s="3">
        <v>8.21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7.0985472325</v>
      </c>
      <c r="B4" s="3">
        <v>8.0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12.0</v>
      </c>
      <c r="B5" s="3">
        <v>1.0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12.3</v>
      </c>
      <c r="B6" s="3">
        <v>1.21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Nail row 1</t>
        </is>
      </c>
      <c r="C3" s="3">
        <v>11.999</v>
      </c>
      <c r="D3" s="3">
        <v>7.5</v>
      </c>
      <c r="E3" s="3">
        <v>6.0901534819</v>
      </c>
      <c r="F3" s="3">
        <v>6.458110934</v>
      </c>
      <c r="G3" s="3" t="inlineStr">
        <is>
          <t>Nail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Nail row 2</t>
        </is>
      </c>
      <c r="C4" s="3">
        <v>11.999</v>
      </c>
      <c r="D4" s="3">
        <v>6.5</v>
      </c>
      <c r="E4" s="3">
        <v>4.1205379759</v>
      </c>
      <c r="F4" s="3">
        <v>5.1108145787</v>
      </c>
      <c r="G4" s="3" t="inlineStr">
        <is>
          <t>Nail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/>
      <c r="Q4" s="3"/>
      <c r="R4" s="3"/>
      <c r="Z4" t="inlineStr">
        <is>
          <t>Tieback</t>
        </is>
      </c>
    </row>
    <row r="5">
      <c r="A5" s="3">
        <v>3</v>
      </c>
      <c r="B5" s="3" t="inlineStr">
        <is>
          <t>Nail row 3</t>
        </is>
      </c>
      <c r="C5" s="3">
        <v>11.999</v>
      </c>
      <c r="D5" s="3">
        <v>5.5</v>
      </c>
      <c r="E5" s="3">
        <v>4.6129418524</v>
      </c>
      <c r="F5" s="3">
        <v>4.1976386675</v>
      </c>
      <c r="G5" s="3" t="inlineStr">
        <is>
          <t>Nail</t>
        </is>
      </c>
      <c r="H5" s="3">
        <f>IF($G5="","",IFERROR(VLOOKUP($G5,$Z$8:$AB$11,2,0),""))</f>
        <v/>
      </c>
      <c r="I5" s="3">
        <f>IF($G5="","",IFERROR(VLOOKUP($G5,$Z$8:$AB$11,3,0),""))</f>
        <v/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/>
      <c r="Q5" s="3"/>
      <c r="R5" s="3"/>
      <c r="Z5" t="inlineStr">
        <is>
          <t>Anchor</t>
        </is>
      </c>
    </row>
    <row r="6">
      <c r="A6" s="3">
        <v>4</v>
      </c>
      <c r="B6" s="3" t="inlineStr">
        <is>
          <t>Nail row 4</t>
        </is>
      </c>
      <c r="C6" s="3">
        <v>11.999</v>
      </c>
      <c r="D6" s="3">
        <v>4.5</v>
      </c>
      <c r="E6" s="3">
        <v>4.1205379759</v>
      </c>
      <c r="F6" s="3">
        <v>3.1108145787</v>
      </c>
      <c r="G6" s="3" t="inlineStr">
        <is>
          <t>Nail</t>
        </is>
      </c>
      <c r="H6" s="3">
        <f>IF($G6="","",IFERROR(VLOOKUP($G6,$Z$8:$AB$11,2,0),""))</f>
        <v/>
      </c>
      <c r="I6" s="3">
        <f>IF($G6="","",IFERROR(VLOOKUP($G6,$Z$8:$AB$11,3,0),""))</f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/>
      <c r="Q6" s="3"/>
      <c r="R6" s="3"/>
    </row>
    <row r="7">
      <c r="A7" s="3">
        <v>5</v>
      </c>
      <c r="B7" s="3" t="inlineStr">
        <is>
          <t>Nail row 5</t>
        </is>
      </c>
      <c r="C7" s="3">
        <v>11.999</v>
      </c>
      <c r="D7" s="3">
        <v>3.5</v>
      </c>
      <c r="E7" s="3">
        <v>4.1205379759</v>
      </c>
      <c r="F7" s="3">
        <v>2.1108145787</v>
      </c>
      <c r="G7" s="3" t="inlineStr">
        <is>
          <t>Nail</t>
        </is>
      </c>
      <c r="H7" s="3">
        <f>IF($G7="","",IFERROR(VLOOKUP($G7,$Z$8:$AB$11,2,0),""))</f>
        <v/>
      </c>
      <c r="I7" s="3">
        <f>IF($G7="","",IFERROR(VLOOKUP($G7,$Z$8:$AB$11,3,0),""))</f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/>
      <c r="Q7" s="3"/>
      <c r="R7" s="3"/>
    </row>
    <row r="8">
      <c r="A8" s="3">
        <v>6</v>
      </c>
      <c r="B8" s="3" t="inlineStr">
        <is>
          <t>Nail row 6</t>
        </is>
      </c>
      <c r="C8" s="3">
        <v>11.999</v>
      </c>
      <c r="D8" s="3">
        <v>2.5</v>
      </c>
      <c r="E8" s="3">
        <v>4.1205379759</v>
      </c>
      <c r="F8" s="3">
        <v>1.1108145787</v>
      </c>
      <c r="G8" s="3" t="inlineStr">
        <is>
          <t>Nail</t>
        </is>
      </c>
      <c r="H8" s="3">
        <f>IF($G8="","",IFERROR(VLOOKUP($G8,$Z$8:$AB$11,2,0),""))</f>
        <v/>
      </c>
      <c r="I8" s="3">
        <f>IF($G8="","",IFERROR(VLOOKUP($G8,$Z$8:$AB$11,3,0),""))</f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/>
      <c r="Q8" s="3"/>
      <c r="R8" s="3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>
        <v>7</v>
      </c>
      <c r="B9" s="3" t="inlineStr">
        <is>
          <t>Nail row 7</t>
        </is>
      </c>
      <c r="C9" s="3">
        <v>11.999</v>
      </c>
      <c r="D9" s="3">
        <v>1.5</v>
      </c>
      <c r="E9" s="3">
        <v>6.0901534819</v>
      </c>
      <c r="F9" s="3">
        <v>0.458110934</v>
      </c>
      <c r="G9" s="3" t="inlineStr">
        <is>
          <t>Nail</t>
        </is>
      </c>
      <c r="H9" s="3">
        <f>IF($G9="","",IFERROR(VLOOKUP($G9,$Z$8:$AB$11,2,0),""))</f>
        <v/>
      </c>
      <c r="I9" s="3">
        <f>IF($G9="","",IFERROR(VLOOKUP($G9,$Z$8:$AB$11,3,0),""))</f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/>
      <c r="Q9" s="3"/>
      <c r="R9" s="3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>
        <v>1</v>
      </c>
      <c r="B3" s="3" t="inlineStr">
        <is>
          <t>shotcrete</t>
        </is>
      </c>
      <c r="C3" s="3">
        <v>11.7</v>
      </c>
      <c r="D3" s="3">
        <v>8.0</v>
      </c>
      <c r="E3" s="3">
        <v>13.2</v>
      </c>
      <c r="F3" s="3">
        <v>-90.0</v>
      </c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