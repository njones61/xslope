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E12967D2-A998-D342-B5ED-43CABE326A3A}" xr6:coauthVersionLast="47" xr6:coauthVersionMax="47" xr10:uidLastSave="{00000000-0000-0000-0000-000000000000}"/>
  <bookViews>
    <workbookView xWindow="15680" yWindow="478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<sst xmlns="http://schemas.openxmlformats.org/spreadsheetml/2006/main" count="602" uniqueCount="319">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</sst>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26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312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Layer 1</t>
        </is>
      </c>
      <c r="C11" s="3">
        <v>120.0</v>
      </c>
      <c r="D11" s="3">
        <v>120.0</v>
      </c>
      <c r="E11" s="3" t="inlineStr">
        <is>
          <t>mc</t>
        </is>
      </c>
      <c r="F11" s="3">
        <v>600.0</v>
      </c>
      <c r="G11" s="3">
        <v>24.0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668300.0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Layer 2</t>
        </is>
      </c>
      <c r="C12" s="3">
        <v>130.0</v>
      </c>
      <c r="D12" s="3">
        <v>130.0</v>
      </c>
      <c r="E12" s="3" t="inlineStr">
        <is>
          <t>mc</t>
        </is>
      </c>
      <c r="F12" s="3">
        <v>300.0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668300.0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O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-20.0</v>
      </c>
      <c r="D2" s="24" t="s">
        <v>146</v>
      </c>
      <c r="N2" s="24" t="s">
        <v>147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>
        <v>33.0</v>
      </c>
      <c r="B9" s="3">
        <v>53.0</v>
      </c>
      <c r="D9" s="3">
        <v>-20.0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60.0</v>
      </c>
      <c r="B10" s="3">
        <v>66.0</v>
      </c>
      <c r="D10" s="3">
        <v>0.0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70.0</v>
      </c>
      <c r="B11" s="3">
        <v>71.0</v>
      </c>
      <c r="D11" s="3">
        <v>0.0</v>
      </c>
      <c r="E11" s="3">
        <v>30.0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178.0</v>
      </c>
      <c r="B12" s="3">
        <v>80.0</v>
      </c>
      <c r="D12" s="3">
        <v>29.0</v>
      </c>
      <c r="E12" s="3">
        <v>51.0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195.0</v>
      </c>
      <c r="B13" s="3">
        <v>80.0</v>
      </c>
      <c r="D13" s="3">
        <v>33.0</v>
      </c>
      <c r="E13" s="3">
        <v>53.0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>
        <v>195.0</v>
      </c>
      <c r="E14" s="3">
        <v>26.0</v>
      </c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s">
        <v>169</v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s">
        <v>185</v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>
        <v>0.0</v>
      </c>
      <c r="B3" s="3">
        <v>0.0</v>
      </c>
      <c r="C3" s="3" t="inlineStr">
        <is>
          <t>Free</t>
        </is>
      </c>
      <c r="E3" t="s">
        <v>221</v>
      </c>
      <c r="F3" t="s">
        <v>222</v>
      </c>
    </row>
    <row r="4" spans="1:6" x14ac:dyDescent="0.2">
      <c r="A4" s="3">
        <v>37.0</v>
      </c>
      <c r="B4" s="3">
        <v>33.6</v>
      </c>
      <c r="C4" s="3" t="inlineStr">
        <is>
          <t>Free</t>
        </is>
      </c>
      <c r="E4" t="s">
        <v>223</v>
      </c>
      <c r="F4" t="s">
        <v>224</v>
      </c>
    </row>
    <row r="5" spans="1:6" x14ac:dyDescent="0.2">
      <c r="A5" s="3">
        <v>61.0</v>
      </c>
      <c r="B5" s="3">
        <v>67.069</v>
      </c>
      <c r="C5" s="3" t="inlineStr">
        <is>
          <t>Free</t>
        </is>
      </c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AB2" t="s">
        <v>257</v>
      </c>
      <c r="AC2" t="s">
        <v>258</v>
      </c>
      <c r="AD2" t="s">
        <v>259</v>
      </c>
    </row>
    <row r="3" spans="1:30" x14ac:dyDescent="0.2">
      <c r="A3" s="3">
        <v>1</v>
      </c>
      <c r="B3" s="3" t="inlineStr">
        <is>
          <t>tieback y=20</t>
        </is>
      </c>
      <c r="C3" s="3">
        <v>0.0</v>
      </c>
      <c r="D3" s="3">
        <v>20.0</v>
      </c>
      <c r="E3" s="3">
        <v>31.7207725463</v>
      </c>
      <c r="F3" s="3">
        <v>5.2083608391</v>
      </c>
      <c r="G3" s="3" t="inlineStr">
        <is>
          <t>Anchor</t>
        </is>
      </c>
      <c r="H3" s="3" t="str">
        <f>IF($G3="","",IFERROR(VLOOKUP($G3,$AB$8:$AD$11,2,0),""))</f>
        <v/>
      </c>
      <c r="I3" s="3" t="str">
        <f t="shared" ref="I3:I22" si="1">IF($G3="","",IFERROR(VLOOKUP($G3,$AB$8:$AD$11,3,0),""))</f>
        <v/>
      </c>
      <c r="J3" s="3">
        <v>15043.1125</v>
      </c>
      <c r="K3" s="3">
        <v>0.0</v>
      </c>
      <c r="L3" s="3">
        <v>8.867354668</v>
      </c>
      <c r="M3" s="3"/>
      <c r="N3" s="3"/>
      <c r="O3" s="3">
        <v>0.0</v>
      </c>
      <c r="P3" s="3">
        <v>0.0</v>
      </c>
      <c r="Q3" s="3">
        <v>1.0</v>
      </c>
      <c r="R3" s="3"/>
      <c r="S3" s="3"/>
      <c r="T3" s="3"/>
      <c r="AB3" t="s">
        <v>260</v>
      </c>
      <c r="AC3" t="s">
        <v>261</v>
      </c>
      <c r="AD3" t="s">
        <v>262</v>
      </c>
    </row>
    <row r="4" spans="1:30" x14ac:dyDescent="0.2">
      <c r="A4" s="3">
        <v>2</v>
      </c>
      <c r="B4" s="3" t="inlineStr">
        <is>
          <t>tieback y=8</t>
        </is>
      </c>
      <c r="C4" s="3">
        <v>0.0</v>
      </c>
      <c r="D4" s="3">
        <v>8.0</v>
      </c>
      <c r="E4" s="3">
        <v>29.9081569722</v>
      </c>
      <c r="F4" s="3">
        <v>-5.9464026374</v>
      </c>
      <c r="G4" s="3" t="inlineStr">
        <is>
          <t>Anchor</t>
        </is>
      </c>
      <c r="H4" s="3" t="str">
        <f>IF($G4="","",IFERROR(VLOOKUP($G4,$AB$8:$AD$11,2,0),""))</f>
        <v/>
      </c>
      <c r="I4" s="3" t="str">
        <f t="shared" si="1"/>
        <v/>
      </c>
      <c r="J4" s="3">
        <v>20527.1625</v>
      </c>
      <c r="K4" s="3">
        <v>0.0</v>
      </c>
      <c r="L4" s="3">
        <v>12.0999979369</v>
      </c>
      <c r="M4" s="3"/>
      <c r="N4" s="3"/>
      <c r="O4" s="3">
        <v>0.0</v>
      </c>
      <c r="P4" s="3">
        <v>0.0</v>
      </c>
      <c r="Q4" s="3">
        <v>1.0</v>
      </c>
      <c r="R4" s="3"/>
      <c r="S4" s="3"/>
      <c r="T4" s="3"/>
      <c r="AB4" t="s">
        <v>263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>IF($G5="","",IFERROR(VLOOKUP($G5,$AB$8:$AD$11,2,0),""))</f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264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>IF($G6="","",IFERROR(VLOOKUP($G6,$AB$8:$AD$11,2,0),""))</f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>IF($G7="","",IFERROR(VLOOKUP($G7,$AB$8:$AD$11,2,0),""))</f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>IF($G8="","",IFERROR(VLOOKUP($G8,$AB$8:$AD$11,2,0),""))</f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257</v>
      </c>
      <c r="AC8" t="s">
        <v>258</v>
      </c>
      <c r="AD8" t="s">
        <v>259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>IF($G9="","",IFERROR(VLOOKUP($G9,$AB$8:$AD$11,2,0),""))</f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260</v>
      </c>
      <c r="AC9" t="s">
        <v>261</v>
      </c>
      <c r="AD9" t="s">
        <v>262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>IF($G10="","",IFERROR(VLOOKUP($G10,$AB$8:$AD$11,2,0),""))</f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263</v>
      </c>
      <c r="AC10" t="s">
        <v>261</v>
      </c>
      <c r="AD10" t="s">
        <v>259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>IF($G11="","",IFERROR(VLOOKUP($G11,$AB$8:$AD$11,2,0),""))</f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264</v>
      </c>
      <c r="AC11" t="s">
        <v>261</v>
      </c>
      <c r="AD11" t="s">
        <v>259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>IF($G12="","",IFERROR(VLOOKUP($G12,$AB$8:$AD$11,2,0),""))</f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>IF($G13="","",IFERROR(VLOOKUP($G13,$AB$8:$AD$11,2,0),""))</f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>IF($G14="","",IFERROR(VLOOKUP($G14,$AB$8:$AD$11,2,0),""))</f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>IF($G15="","",IFERROR(VLOOKUP($G15,$AB$8:$AD$11,2,0),""))</f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>IF($G16="","",IFERROR(VLOOKUP($G16,$AB$8:$AD$11,2,0),""))</f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>IF($G17="","",IFERROR(VLOOKUP($G17,$AB$8:$AD$11,2,0),""))</f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IF($G18="","",IFERROR(VLOOKUP($G18,$AB$8:$AD$11,2,0),""))</f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IF($G19="","",IFERROR(VLOOKUP($G19,$AB$8:$AD$11,2,0),""))</f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IF($G20="","",IFERROR(VLOOKUP($G20,$AB$8:$AD$11,2,0),""))</f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IF($G21="","",IFERROR(VLOOKUP($G21,$AB$8:$AD$11,2,0),""))</f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IF($G22="","",IFERROR(VLOOKUP($G22,$AB$8:$AD$11,2,0),""))</f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96</v>
      </c>
    </row>
    <row r="25" spans="1:23" x14ac:dyDescent="0.2">
      <c r="K25" s="9"/>
      <c r="L25" s="9"/>
      <c r="V25" s="29"/>
      <c r="W25" s="9" t="s">
        <v>103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 t="inlineStr">
        <is>
          <t>soldier pile</t>
        </is>
      </c>
      <c r="C3" s="3">
        <v>0.5</v>
      </c>
      <c r="D3" s="3">
        <v>30.0</v>
      </c>
      <c r="E3" s="3">
        <v>0.5</v>
      </c>
      <c r="F3" s="3">
        <v>-7.0</v>
      </c>
      <c r="G3" s="3">
        <v>5900.0</v>
      </c>
      <c r="H3" s="3" t="inlineStr">
        <is>
          <t>Active</t>
        </is>
      </c>
      <c r="I3" s="3">
        <v>0.5</v>
      </c>
      <c r="J3" s="3">
        <v>1.0</v>
      </c>
      <c r="K3" s="3"/>
      <c r="L3" s="3"/>
      <c r="M3" s="3"/>
      <c r="N3" s="3"/>
      <c r="O3" s="3"/>
      <c r="P3" s="3" t="inlineStr">
        <is>
          <t>free</t>
        </is>
      </c>
      <c r="Q3" s="3" t="inlineStr">
        <is>
          <t>free</t>
        </is>
      </c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2026-09-07T22:01:36Z</dcterms:modified>
</cp:coreProperties>
</file>