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<sst xmlns="http://schemas.openxmlformats.org/spreadsheetml/2006/main" count="624" uniqueCount="329">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</sst>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Granular Fill</t>
        </is>
      </c>
      <c r="C11" s="3">
        <v>120.4</v>
      </c>
      <c r="D11" s="3">
        <v>120.4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1044300.0</v>
      </c>
      <c r="N11" s="3">
        <v>0.35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Cohesive Fill</t>
        </is>
      </c>
      <c r="C12" s="3">
        <v>114.7</v>
      </c>
      <c r="D12" s="3">
        <v>114.7</v>
      </c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1044300.0</v>
      </c>
      <c r="N12" s="3">
        <v>0.35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Organic Silt</t>
        </is>
      </c>
      <c r="C13" s="3">
        <v>110.2</v>
      </c>
      <c r="D13" s="3">
        <v>110.2</v>
      </c>
      <c r="E13" s="3" t="inlineStr">
        <is>
          <t>mc</t>
        </is>
      </c>
      <c r="F13" s="3">
        <v>900.0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668300.0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OC Crust</t>
        </is>
      </c>
      <c r="C14" s="3">
        <v>117.8</v>
      </c>
      <c r="D14" s="3">
        <v>117.8</v>
      </c>
      <c r="E14" s="3" t="inlineStr">
        <is>
          <t>mc</t>
        </is>
      </c>
      <c r="F14" s="3">
        <v>2485.0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2610700.0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Upper Marine Clay</t>
        </is>
      </c>
      <c r="C15" s="3">
        <v>117.8</v>
      </c>
      <c r="D15" s="3">
        <v>117.8</v>
      </c>
      <c r="E15" s="3" t="inlineStr">
        <is>
          <t>mc</t>
        </is>
      </c>
      <c r="F15" s="3">
        <v>1670.0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2610700.0</v>
      </c>
      <c r="N15" s="3">
        <v>0.3</v>
      </c>
      <c r="O15" s="3" t="inlineStr">
        <is>
          <t>piezo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 t="inlineStr">
        <is>
          <t>Middle Marine Clay</t>
        </is>
      </c>
      <c r="C16" s="3">
        <v>117.8</v>
      </c>
      <c r="D16" s="3">
        <v>117.8</v>
      </c>
      <c r="E16" s="3" t="inlineStr">
        <is>
          <t>mc</t>
        </is>
      </c>
      <c r="F16" s="3">
        <v>960.0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/>
      <c r="M16" s="3">
        <v>668300.0</v>
      </c>
      <c r="N16" s="3">
        <v>0.4</v>
      </c>
      <c r="O16" s="3" t="inlineStr">
        <is>
          <t>piezo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>
        <v>0.5</v>
      </c>
      <c r="AP16" s="3"/>
      <c r="AQ16" s="3"/>
    </row>
    <row r="17" spans="1:43" x14ac:dyDescent="0.2">
      <c r="A17" s="3">
        <v>7</v>
      </c>
      <c r="B17" s="3" t="inlineStr">
        <is>
          <t>Lower Marine Clay</t>
        </is>
      </c>
      <c r="C17" s="3">
        <v>117.8</v>
      </c>
      <c r="D17" s="3">
        <v>117.8</v>
      </c>
      <c r="E17" s="3" t="inlineStr">
        <is>
          <t>mc</t>
        </is>
      </c>
      <c r="F17" s="3">
        <v>1085.0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/>
      <c r="M17" s="3">
        <v>668300.0</v>
      </c>
      <c r="N17" s="3">
        <v>0.4</v>
      </c>
      <c r="O17" s="3" t="inlineStr">
        <is>
          <t>piezo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>
        <v>0.5</v>
      </c>
      <c r="AP17" s="3"/>
      <c r="AQ17" s="3"/>
    </row>
    <row r="18" spans="1:43" x14ac:dyDescent="0.2">
      <c r="A18" s="3">
        <v>8</v>
      </c>
      <c r="B18" s="3" t="inlineStr">
        <is>
          <t>Glaciomarine Deposits</t>
        </is>
      </c>
      <c r="C18" s="3">
        <v>147.1</v>
      </c>
      <c r="D18" s="3">
        <v>147.1</v>
      </c>
      <c r="E18" s="3" t="inlineStr">
        <is>
          <t>mc</t>
        </is>
      </c>
      <c r="F18" s="3">
        <v>1500.0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/>
      <c r="M18" s="3">
        <v>668300.0</v>
      </c>
      <c r="N18" s="3">
        <v>0.4</v>
      </c>
      <c r="O18" s="3" t="inlineStr">
        <is>
          <t>piezo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>
        <v>0.5</v>
      </c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inlineStr">
        <is>
          <t>Profile Line #5</t>
        </is>
      </c>
      <c r="N4" s="52"/>
      <c r="P4" s="55" t="inlineStr">
        <is>
          <t>Profile Line #6</t>
        </is>
      </c>
      <c r="Q4" s="54"/>
      <c r="R4" s="1"/>
      <c r="S4" s="55" t="inlineStr">
        <is>
          <t>Profile Line #7</t>
        </is>
      </c>
      <c r="T4" s="54"/>
      <c r="U4" s="1"/>
      <c r="V4" s="55" t="inlineStr">
        <is>
          <t>Profile Line #8</t>
        </is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113.0</v>
      </c>
      <c r="D9" s="3">
        <v>200.0</v>
      </c>
      <c r="E9" s="3">
        <v>109.0</v>
      </c>
      <c r="G9" s="3">
        <v>200.0</v>
      </c>
      <c r="H9" s="3">
        <v>93.0</v>
      </c>
      <c r="J9" s="3">
        <v>200.0</v>
      </c>
      <c r="K9" s="3">
        <v>86.0</v>
      </c>
      <c r="M9" s="3">
        <v>200.0</v>
      </c>
      <c r="N9" s="3">
        <v>82.5</v>
      </c>
      <c r="P9" s="3">
        <v>50.0</v>
      </c>
      <c r="Q9" s="3">
        <v>69.0</v>
      </c>
      <c r="R9" s="1"/>
      <c r="S9" s="16">
        <v>50.0</v>
      </c>
      <c r="T9" s="17">
        <v>40.0</v>
      </c>
      <c r="U9" s="1"/>
      <c r="V9" s="16">
        <v>50.0</v>
      </c>
      <c r="W9" s="17">
        <v>24.0</v>
      </c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350.0</v>
      </c>
      <c r="B10" s="3">
        <v>113.0</v>
      </c>
      <c r="D10" s="3">
        <v>350.0</v>
      </c>
      <c r="E10" s="3">
        <v>109.0</v>
      </c>
      <c r="G10" s="3">
        <v>350.0</v>
      </c>
      <c r="H10" s="3">
        <v>93.0</v>
      </c>
      <c r="J10" s="3">
        <v>350.0</v>
      </c>
      <c r="K10" s="3">
        <v>86.0</v>
      </c>
      <c r="M10" s="3">
        <v>350.0</v>
      </c>
      <c r="N10" s="3">
        <v>82.5</v>
      </c>
      <c r="P10" s="3">
        <v>200.0</v>
      </c>
      <c r="Q10" s="3">
        <v>69.0</v>
      </c>
      <c r="R10" s="1"/>
      <c r="S10" s="18">
        <v>350.0</v>
      </c>
      <c r="T10" s="19">
        <v>40.0</v>
      </c>
      <c r="U10" s="1"/>
      <c r="V10" s="18">
        <v>350.0</v>
      </c>
      <c r="W10" s="19">
        <v>24.0</v>
      </c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>
        <v>350.0</v>
      </c>
      <c r="Q11" s="3">
        <v>69.0</v>
      </c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50.0</v>
      </c>
      <c r="B5" s="3">
        <v>69.0</v>
      </c>
      <c r="D5" s="3"/>
      <c r="E5" s="3"/>
      <c r="G5" s="1" t="s">
        <v>18</v>
      </c>
      <c r="H5" t="s">
        <v>190</v>
      </c>
    </row>
    <row r="6" spans="1:8" x14ac:dyDescent="0.2">
      <c r="A6" s="3">
        <v>200.0</v>
      </c>
      <c r="B6" s="3">
        <v>69.0</v>
      </c>
      <c r="D6" s="3"/>
      <c r="E6" s="3"/>
      <c r="G6" s="1" t="s">
        <v>191</v>
      </c>
      <c r="H6" t="s">
        <v>192</v>
      </c>
    </row>
    <row r="7" spans="1:8" x14ac:dyDescent="0.2">
      <c r="A7" s="3">
        <v>200.0</v>
      </c>
      <c r="B7" s="3">
        <v>102.5</v>
      </c>
      <c r="D7" s="3"/>
      <c r="E7" s="3"/>
    </row>
    <row r="8" spans="1:8" x14ac:dyDescent="0.2">
      <c r="A8" s="3">
        <v>350.0</v>
      </c>
      <c r="B8" s="3">
        <v>102.5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208.313</v>
      </c>
      <c r="C3" s="3">
        <v>148.638</v>
      </c>
      <c r="D3" s="3" t="inlineStr">
        <is>
          <t>Depth</t>
        </is>
      </c>
      <c r="E3" s="3">
        <v>24.0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tieback y=104</t>
        </is>
      </c>
      <c r="C3" s="3">
        <v>200.0</v>
      </c>
      <c r="D3" s="3">
        <v>104.0</v>
      </c>
      <c r="E3" s="3">
        <v>282.6929506292</v>
      </c>
      <c r="F3" s="3">
        <v>73.9022273873</v>
      </c>
      <c r="G3" s="3" t="inlineStr">
        <is>
          <t>Anchor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Active</v>
      </c>
      <c r="J3" s="3">
        <v>40000.0</v>
      </c>
      <c r="K3" s="3">
        <v>0.0</v>
      </c>
      <c r="L3" s="3">
        <v>40.0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tieback y=89.5</t>
        </is>
      </c>
      <c r="C4" s="3">
        <v>200.0</v>
      </c>
      <c r="D4" s="3">
        <v>89.5</v>
      </c>
      <c r="E4" s="3">
        <v>282.6929506292</v>
      </c>
      <c r="F4" s="3">
        <v>59.4022273873</v>
      </c>
      <c r="G4" s="3" t="inlineStr">
        <is>
          <t>Anchor</t>
        </is>
      </c>
      <c r="H4" s="3" t="str">
        <f>IF($G4="","",IFERROR(VLOOKUP($G4,$AH$8:$AJ$11,2,0),""))</f>
        <v>Axial</v>
      </c>
      <c r="I4" s="3" t="str">
        <f t="shared" si="1"/>
        <v>Active</v>
      </c>
      <c r="J4" s="3">
        <v>40000.0</v>
      </c>
      <c r="K4" s="3">
        <v>0.0</v>
      </c>
      <c r="L4" s="3">
        <v>40.0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tieback y=75</t>
        </is>
      </c>
      <c r="C5" s="3">
        <v>200.0</v>
      </c>
      <c r="D5" s="3">
        <v>75.0</v>
      </c>
      <c r="E5" s="3">
        <v>282.6929506292</v>
      </c>
      <c r="F5" s="3">
        <v>44.9022273873</v>
      </c>
      <c r="G5" s="3" t="inlineStr">
        <is>
          <t>Anchor</t>
        </is>
      </c>
      <c r="H5" s="3" t="str">
        <f>IF($G5="","",IFERROR(VLOOKUP($G5,$AH$8:$AJ$11,2,0),""))</f>
        <v>Axial</v>
      </c>
      <c r="I5" s="3" t="str">
        <f t="shared" si="1"/>
        <v>Active</v>
      </c>
      <c r="J5" s="3">
        <v>40000.0</v>
      </c>
      <c r="K5" s="3">
        <v>0.0</v>
      </c>
      <c r="L5" s="3">
        <v>40.0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