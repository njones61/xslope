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<sst xmlns="http://schemas.openxmlformats.org/spreadsheetml/2006/main" count="624" uniqueCount="329">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</sst>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7.0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Sandy clay</t>
        </is>
      </c>
      <c r="C11" s="3">
        <v>120.0</v>
      </c>
      <c r="D11" s="3">
        <v>120.0</v>
      </c>
      <c r="E11" s="3" t="inlineStr">
        <is>
          <t>mc</t>
        </is>
      </c>
      <c r="F11" s="3">
        <v>800.0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800.0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Firm soil</t>
        </is>
      </c>
      <c r="C12" s="3">
        <v>130.0</v>
      </c>
      <c r="D12" s="3">
        <v>130.0</v>
      </c>
      <c r="E12" s="3" t="inlineStr">
        <is>
          <t>mc</t>
        </is>
      </c>
      <c r="F12" s="3">
        <v>5000.0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-14.0</v>
      </c>
      <c r="B9" s="3">
        <v>0.0</v>
      </c>
      <c r="D9" s="3">
        <v>-14.0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>
        <v>50.0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50.0</v>
      </c>
      <c r="B12" s="3">
        <v>25.0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0.0</v>
      </c>
      <c r="B3" s="3">
        <v>0.0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0.7077139471</v>
      </c>
      <c r="B4" s="3">
        <v>0.5146505819</v>
      </c>
      <c r="C4" s="3" t="inlineStr">
        <is>
          <t>Free</t>
        </is>
      </c>
      <c r="E4" t="s">
        <v>223</v>
      </c>
      <c r="F4" t="s">
        <v>224</v>
      </c>
    </row>
    <row r="5" spans="1:6" x14ac:dyDescent="0.2">
      <c r="A5" s="3">
        <v>1.4088487694</v>
      </c>
      <c r="B5" s="3">
        <v>1.038224232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>
        <v>2.1030463255</v>
      </c>
      <c r="B6" s="3">
        <v>1.5709616525</v>
      </c>
      <c r="C6" s="3" t="inlineStr">
        <is>
          <t>Free</t>
        </is>
      </c>
    </row>
    <row r="7" spans="1:6" x14ac:dyDescent="0.2">
      <c r="A7" s="3">
        <v>2.7901868538</v>
      </c>
      <c r="B7" s="3">
        <v>2.1127709366</v>
      </c>
      <c r="C7" s="3" t="inlineStr">
        <is>
          <t>Free</t>
        </is>
      </c>
    </row>
    <row r="8" spans="1:6" x14ac:dyDescent="0.2">
      <c r="A8" s="3">
        <v>3.4701518103</v>
      </c>
      <c r="B8" s="3">
        <v>2.6635586127</v>
      </c>
      <c r="C8" s="3" t="inlineStr">
        <is>
          <t>Free</t>
        </is>
      </c>
    </row>
    <row r="9" spans="1:6" x14ac:dyDescent="0.2">
      <c r="A9" s="3">
        <v>4.1428238887</v>
      </c>
      <c r="B9" s="3">
        <v>3.2232296599</v>
      </c>
      <c r="C9" s="3" t="inlineStr">
        <is>
          <t>Free</t>
        </is>
      </c>
    </row>
    <row r="10" spans="1:6" x14ac:dyDescent="0.2">
      <c r="A10" s="3">
        <v>4.808087041</v>
      </c>
      <c r="B10" s="3">
        <v>3.7916875248</v>
      </c>
      <c r="C10" s="3" t="inlineStr">
        <is>
          <t>Free</t>
        </is>
      </c>
    </row>
    <row r="11" spans="1:6" x14ac:dyDescent="0.2">
      <c r="A11" s="3">
        <v>5.4658264975</v>
      </c>
      <c r="B11" s="3">
        <v>4.3688341383</v>
      </c>
      <c r="C11" s="3" t="inlineStr">
        <is>
          <t>Free</t>
        </is>
      </c>
    </row>
    <row r="12" spans="1:6" x14ac:dyDescent="0.2">
      <c r="A12" s="3">
        <v>6.1159287862</v>
      </c>
      <c r="B12" s="3">
        <v>4.9545699323</v>
      </c>
      <c r="C12" s="3" t="inlineStr">
        <is>
          <t>Free</t>
        </is>
      </c>
    </row>
    <row r="13" spans="1:6" x14ac:dyDescent="0.2">
      <c r="A13" s="3">
        <v>6.7582817527</v>
      </c>
      <c r="B13" s="3">
        <v>5.5487938568</v>
      </c>
      <c r="C13" s="3" t="inlineStr">
        <is>
          <t>Free</t>
        </is>
      </c>
    </row>
    <row r="14" spans="1:6" x14ac:dyDescent="0.2">
      <c r="A14" s="3">
        <v>7.3927745798</v>
      </c>
      <c r="B14" s="3">
        <v>6.1514033975</v>
      </c>
      <c r="C14" s="3" t="inlineStr">
        <is>
          <t>Free</t>
        </is>
      </c>
    </row>
    <row r="15" spans="1:6" x14ac:dyDescent="0.2">
      <c r="A15" s="3">
        <v>8.0192978059</v>
      </c>
      <c r="B15" s="3">
        <v>6.7622945933</v>
      </c>
      <c r="C15" s="3" t="inlineStr">
        <is>
          <t>Free</t>
        </is>
      </c>
    </row>
    <row r="16" spans="1:6" x14ac:dyDescent="0.2">
      <c r="A16" s="3">
        <v>8.6377433446</v>
      </c>
      <c r="B16" s="3">
        <v>7.3813620547</v>
      </c>
      <c r="C16" s="3" t="inlineStr">
        <is>
          <t>Free</t>
        </is>
      </c>
    </row>
    <row r="17" spans="1:3" x14ac:dyDescent="0.2">
      <c r="A17" s="3">
        <v>9.2480045029</v>
      </c>
      <c r="B17" s="3">
        <v>8.0084989814</v>
      </c>
      <c r="C17" s="3" t="inlineStr">
        <is>
          <t>Free</t>
        </is>
      </c>
    </row>
    <row r="18" spans="1:3" x14ac:dyDescent="0.2">
      <c r="A18" s="3">
        <v>9.8499759998</v>
      </c>
      <c r="B18" s="3">
        <v>8.6435971809</v>
      </c>
      <c r="C18" s="3" t="inlineStr">
        <is>
          <t>Free</t>
        </is>
      </c>
    </row>
    <row r="19" spans="1:3" x14ac:dyDescent="0.2">
      <c r="A19" s="3">
        <v>10.4435539843</v>
      </c>
      <c r="B19" s="3">
        <v>9.2865470875</v>
      </c>
      <c r="C19" s="3" t="inlineStr">
        <is>
          <t>Free</t>
        </is>
      </c>
    </row>
    <row r="20" spans="1:3" x14ac:dyDescent="0.2">
      <c r="A20" s="3">
        <v>11.0286360537</v>
      </c>
      <c r="B20" s="3">
        <v>9.9372377806</v>
      </c>
      <c r="C20" s="3" t="inlineStr">
        <is>
          <t>Free</t>
        </is>
      </c>
    </row>
    <row r="21" spans="1:3" x14ac:dyDescent="0.2">
      <c r="A21" s="3">
        <v>11.6051212707</v>
      </c>
      <c r="B21" s="3">
        <v>10.5955570046</v>
      </c>
      <c r="C21" s="3" t="inlineStr">
        <is>
          <t>Free</t>
        </is>
      </c>
    </row>
    <row r="22" spans="1:3" x14ac:dyDescent="0.2">
      <c r="A22" s="3">
        <v>12.1729101814</v>
      </c>
      <c r="B22" s="3">
        <v>11.2613911875</v>
      </c>
      <c r="C22" s="3" t="inlineStr">
        <is>
          <t>Free</t>
        </is>
      </c>
    </row>
    <row r="23" spans="1:3" x14ac:dyDescent="0.2">
      <c r="A23" s="3">
        <v>12.7319048318</v>
      </c>
      <c r="B23" s="3">
        <v>11.9346254608</v>
      </c>
      <c r="C23" s="3" t="inlineStr">
        <is>
          <t>Free</t>
        </is>
      </c>
    </row>
    <row r="24">
      <c r="A24">
        <v>13.2820087855</v>
      </c>
      <c r="B24">
        <v>12.6151436798</v>
      </c>
      <c r="C24" t="inlineStr">
        <is>
          <t>Free</t>
        </is>
      </c>
    </row>
    <row r="25">
      <c r="A25">
        <v>13.8231271395</v>
      </c>
      <c r="B25">
        <v>13.3028284426</v>
      </c>
      <c r="C25" t="inlineStr">
        <is>
          <t>Free</t>
        </is>
      </c>
    </row>
    <row r="26">
      <c r="A26">
        <v>14.3551665412</v>
      </c>
      <c r="B26">
        <v>13.9975611113</v>
      </c>
      <c r="C26" t="inlineStr">
        <is>
          <t>Free</t>
        </is>
      </c>
    </row>
    <row r="27">
      <c r="A27">
        <v>14.8780352044</v>
      </c>
      <c r="B27">
        <v>14.6992218322</v>
      </c>
      <c r="C27" t="inlineStr">
        <is>
          <t>Free</t>
        </is>
      </c>
    </row>
    <row r="28">
      <c r="A28">
        <v>15.3916429247</v>
      </c>
      <c r="B28">
        <v>15.407689556</v>
      </c>
      <c r="C28" t="inlineStr">
        <is>
          <t>Free</t>
        </is>
      </c>
    </row>
    <row r="29">
      <c r="A29">
        <v>15.8959010956</v>
      </c>
      <c r="B29">
        <v>16.1228420595</v>
      </c>
      <c r="C29" t="inlineStr">
        <is>
          <t>Free</t>
        </is>
      </c>
    </row>
    <row r="30">
      <c r="A30">
        <v>16.3907227235</v>
      </c>
      <c r="B30">
        <v>16.8445559658</v>
      </c>
      <c r="C30" t="inlineStr">
        <is>
          <t>Free</t>
        </is>
      </c>
    </row>
    <row r="31">
      <c r="A31">
        <v>16.8760224428</v>
      </c>
      <c r="B31">
        <v>17.5727067665</v>
      </c>
      <c r="C31" t="inlineStr">
        <is>
          <t>Free</t>
        </is>
      </c>
    </row>
    <row r="32">
      <c r="A32">
        <v>17.3517165306</v>
      </c>
      <c r="B32">
        <v>18.3071688424</v>
      </c>
      <c r="C32" t="inlineStr">
        <is>
          <t>Free</t>
        </is>
      </c>
    </row>
    <row r="33">
      <c r="A33">
        <v>17.8177229211</v>
      </c>
      <c r="B33">
        <v>19.0478154856</v>
      </c>
      <c r="C33" t="inlineStr">
        <is>
          <t>Free</t>
        </is>
      </c>
    </row>
    <row r="34">
      <c r="A34">
        <v>18.2739612198</v>
      </c>
      <c r="B34">
        <v>19.7945189214</v>
      </c>
      <c r="C34" t="inlineStr">
        <is>
          <t>Free</t>
        </is>
      </c>
    </row>
    <row r="35">
      <c r="A35">
        <v>18.7203527174</v>
      </c>
      <c r="B35">
        <v>20.5471503298</v>
      </c>
      <c r="C35" t="inlineStr">
        <is>
          <t>Free</t>
        </is>
      </c>
    </row>
    <row r="36">
      <c r="A36">
        <v>19.1568204033</v>
      </c>
      <c r="B36">
        <v>21.3055798685</v>
      </c>
      <c r="C36" t="inlineStr">
        <is>
          <t>Free</t>
        </is>
      </c>
    </row>
    <row r="37">
      <c r="A37">
        <v>19.5832889791</v>
      </c>
      <c r="B37">
        <v>22.0696766948</v>
      </c>
      <c r="C37" t="inlineStr">
        <is>
          <t>Free</t>
        </is>
      </c>
    </row>
    <row r="38">
      <c r="A38">
        <v>19.9996848713</v>
      </c>
      <c r="B38">
        <v>22.8393089882</v>
      </c>
      <c r="C38" t="inlineStr">
        <is>
          <t>Free</t>
        </is>
      </c>
    </row>
    <row r="39">
      <c r="A39">
        <v>20.405936244</v>
      </c>
      <c r="B39">
        <v>23.6143439734</v>
      </c>
      <c r="C39" t="inlineStr">
        <is>
          <t>Free</t>
        </is>
      </c>
    </row>
    <row r="40">
      <c r="A40">
        <v>20.8019730117</v>
      </c>
      <c r="B40">
        <v>24.3946479428</v>
      </c>
      <c r="C40" t="inlineStr">
        <is>
          <t>Free</t>
        </is>
      </c>
    </row>
    <row r="41">
      <c r="A41">
        <v>21.1877268509</v>
      </c>
      <c r="B41">
        <v>25.1800862801</v>
      </c>
      <c r="C41" t="inlineStr">
        <is>
          <t>Free</t>
        </is>
      </c>
    </row>
    <row r="42">
      <c r="A42">
        <v>21.563131212</v>
      </c>
      <c r="B42">
        <v>25.970523483</v>
      </c>
      <c r="C42" t="inlineStr">
        <is>
          <t>Free</t>
        </is>
      </c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0.0</v>
      </c>
      <c r="C7" s="3">
        <v>25.0</v>
      </c>
      <c r="D7" s="3">
        <v>500.0</v>
      </c>
      <c r="F7" s="3">
        <v>0.0</v>
      </c>
      <c r="G7" s="3">
        <v>25.0</v>
      </c>
      <c r="H7" s="3">
        <v>250.0</v>
      </c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7.3</v>
      </c>
      <c r="C8" s="3">
        <v>25.0</v>
      </c>
      <c r="D8" s="3">
        <v>500.0</v>
      </c>
      <c r="F8" s="3">
        <v>50.0</v>
      </c>
      <c r="G8" s="3">
        <v>25.0</v>
      </c>
      <c r="H8" s="3">
        <v>250.0</v>
      </c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nail 1</t>
        </is>
      </c>
      <c r="C3" s="3">
        <v>0.0</v>
      </c>
      <c r="D3" s="3">
        <v>23.0</v>
      </c>
      <c r="E3" s="3">
        <v>38.6370330516</v>
      </c>
      <c r="F3" s="3">
        <v>12.6472381959</v>
      </c>
      <c r="G3" s="3" t="inlineStr">
        <is>
          <t>Nail</t>
        </is>
      </c>
      <c r="H3" s="3" t="str">
        <f>IF($G3="","",IFERROR(VLOOKUP($G3,$AH$8:$AJ$11,2,0),""))</f>
        <v>Axial</v>
      </c>
      <c r="I3" s="3" t="str">
        <f t="shared" ref="I3:I32" si="1">IF($G3="","",IFERROR(VLOOKUP($G3,$AH$8:$AJ$11,3,0),""))</f>
        <v>Passive</v>
      </c>
      <c r="J3" s="3">
        <v>5183.628</v>
      </c>
      <c r="K3" s="3">
        <v>0.0</v>
      </c>
      <c r="L3" s="3">
        <v>17.1870954907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4176000000.0</v>
      </c>
      <c r="T3" s="3">
        <v>0.00248258046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nail 2</t>
        </is>
      </c>
      <c r="C4" s="3">
        <v>0.0</v>
      </c>
      <c r="D4" s="3">
        <v>18.0</v>
      </c>
      <c r="E4" s="3">
        <v>38.6370330516</v>
      </c>
      <c r="F4" s="3">
        <v>7.6472381959</v>
      </c>
      <c r="G4" s="3" t="inlineStr">
        <is>
          <t>Nail</t>
        </is>
      </c>
      <c r="H4" s="3" t="str">
        <f>IF($G4="","",IFERROR(VLOOKUP($G4,$AH$8:$AJ$11,2,0),""))</f>
        <v>Axial</v>
      </c>
      <c r="I4" s="3" t="str">
        <f t="shared" si="1"/>
        <v>Passive</v>
      </c>
      <c r="J4" s="3">
        <v>5183.628</v>
      </c>
      <c r="K4" s="3">
        <v>0.0</v>
      </c>
      <c r="L4" s="3">
        <v>17.1870954907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4176000000.0</v>
      </c>
      <c r="T4" s="3">
        <v>0.00248258046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nail 3</t>
        </is>
      </c>
      <c r="C5" s="3">
        <v>0.0</v>
      </c>
      <c r="D5" s="3">
        <v>13.0</v>
      </c>
      <c r="E5" s="3">
        <v>38.6370330516</v>
      </c>
      <c r="F5" s="3">
        <v>2.6472381959</v>
      </c>
      <c r="G5" s="3" t="inlineStr">
        <is>
          <t>Nail</t>
        </is>
      </c>
      <c r="H5" s="3" t="str">
        <f>IF($G5="","",IFERROR(VLOOKUP($G5,$AH$8:$AJ$11,2,0),""))</f>
        <v>Axial</v>
      </c>
      <c r="I5" s="3" t="str">
        <f t="shared" si="1"/>
        <v>Passive</v>
      </c>
      <c r="J5" s="3">
        <v>5183.628</v>
      </c>
      <c r="K5" s="3">
        <v>0.0</v>
      </c>
      <c r="L5" s="3">
        <v>17.1870954907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4176000000.0</v>
      </c>
      <c r="T5" s="3">
        <v>0.00248258046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nail 4</t>
        </is>
      </c>
      <c r="C6" s="3">
        <v>0.0</v>
      </c>
      <c r="D6" s="3">
        <v>8.0</v>
      </c>
      <c r="E6" s="3">
        <v>31.8755522675</v>
      </c>
      <c r="F6" s="3">
        <v>-0.5410284884</v>
      </c>
      <c r="G6" s="3" t="inlineStr">
        <is>
          <t>Nail</t>
        </is>
      </c>
      <c r="H6" s="3" t="str">
        <f>IF($G6="","",IFERROR(VLOOKUP($G6,$AH$8:$AJ$11,2,0),""))</f>
        <v>Axial</v>
      </c>
      <c r="I6" s="3" t="str">
        <f t="shared" si="1"/>
        <v>Passive</v>
      </c>
      <c r="J6" s="3">
        <v>5183.628</v>
      </c>
      <c r="K6" s="3">
        <v>0.0</v>
      </c>
      <c r="L6" s="3">
        <v>17.1870954907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4176000000.0</v>
      </c>
      <c r="T6" s="3">
        <v>0.00248258046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nail 5</t>
        </is>
      </c>
      <c r="C7" s="3">
        <v>0.0</v>
      </c>
      <c r="D7" s="3">
        <v>3.0</v>
      </c>
      <c r="E7" s="3">
        <v>24.6311085704</v>
      </c>
      <c r="F7" s="3">
        <v>-3.5998856501</v>
      </c>
      <c r="G7" s="3" t="inlineStr">
        <is>
          <t>Nail</t>
        </is>
      </c>
      <c r="H7" s="3" t="str">
        <f>IF($G7="","",IFERROR(VLOOKUP($G7,$AH$8:$AJ$11,2,0),""))</f>
        <v>Axial</v>
      </c>
      <c r="I7" s="3" t="str">
        <f t="shared" si="1"/>
        <v>Passive</v>
      </c>
      <c r="J7" s="3">
        <v>5183.628</v>
      </c>
      <c r="K7" s="3">
        <v>0.0</v>
      </c>
      <c r="L7" s="3">
        <v>17.1870954907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4176000000.0</v>
      </c>
      <c r="T7" s="3">
        <v>0.00248258046</v>
      </c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>IF($G8="","",IFERROR(VLOOKUP($G8,$AH$8:$AJ$11,2,0),""))</f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IF($G9="","",IFERROR(VLOOKUP($G9,$AH$8:$AJ$11,2,0),""))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IF($G10="","",IFERROR(VLOOKUP($G10,$AH$8:$AJ$11,2,0),""))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IF($G11="","",IFERROR(VLOOKUP($G11,$AH$8:$AJ$11,2,0),""))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IF($G12="","",IFERROR(VLOOKUP($G12,$AH$8:$AJ$11,2,0),""))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IF($G13="","",IFERROR(VLOOKUP($G13,$AH$8:$AJ$11,2,0),""))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IF($G14="","",IFERROR(VLOOKUP($G14,$AH$8:$AJ$11,2,0),""))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IF($G15="","",IFERROR(VLOOKUP($G15,$AH$8:$AJ$11,2,0),""))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IF($G16="","",IFERROR(VLOOKUP($G16,$AH$8:$AJ$11,2,0),""))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