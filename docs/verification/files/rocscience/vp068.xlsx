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807E244B-733A-DD48-859C-6A1D7FF99A48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<sst xmlns="http://schemas.openxmlformats.org/spreadsheetml/2006/main" count="518" uniqueCount="304">
  <si>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</si>
  <si>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</si>
  <si>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</si>
  <si>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</si>
  <si>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</si>
  <si>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</si>
  <si>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</si>
  <si>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</si>
  <si>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</si>
  <si>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</si>
  <si>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</si>
  <si>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</si>
  <si>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</si>
  <si>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</si>
  <si>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</si>
  <si>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</si>
  <si>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</si>
  <si>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</si>
  <si>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</si>
  <si>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</si>
  <si>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</si>
  <si>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</si>
  <si>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</si>
  <si>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</si>
  <si>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</si>
  <si>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</si>
  <si>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</si>
  <si>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</si>
  <si>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</si>
  <si>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</si>
  <si>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</si>
  <si>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</si>
  <si>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</si>
  <si>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</si>
  <si>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</si>
  <si>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</si>
  <si>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</si>
  <si>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</si>
  <si>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</si>
  <si>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</si>
  <si>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</si>
  <si>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</si>
  <si>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</si>
  <si>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</si>
  <si>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</si>
  <si>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</si>
  <si>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</si>
  <si>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</si>
  <si>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</si>
  <si>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</si>
  <si>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</si>
  <si>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</si>
  <si>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</si>
  <si>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</si>
  <si>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</si>
  <si>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</si>
  <si>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</si>
  <si>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</si>
  <si>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</si>
  <si>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</si>
  <si>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</si>
  <si>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</si>
  <si>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</si>
  <si>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</si>
  <si>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</si>
  <si>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</si>
  <si>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</si>
  <si>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</si>
  <si>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</si>
  <si>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</si>
  <si>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</si>
  <si>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</si>
  <si>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</si>
  <si>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</si>
  <si>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</si>
  <si>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</si>
  <si>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</si>
  <si>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</si>
  <si>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</si>
  <si>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</si>
  <si>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</si>
  <si>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</si>
  <si>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</si>
  <si>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</si>
  <si>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</si>
  <si>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</si>
  <si>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</si>
  <si>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</si>
  <si>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</si>
  <si>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</si>
  <si>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</si>
  <si>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</si>
  <si>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</si>
  <si>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</si>
  <si>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</si>
  <si>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</si>
  <si>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</si>
  <si>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</si>
  <si>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</si>
  <si>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</si>
  <si>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</si>
  <si>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</si>
  <si>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</si>
  <si>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</si>
  <si>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</si>
  <si>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</si>
  <si>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</si>
  <si>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</si>
  <si>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</si>
  <si>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</si>
  <si>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</si>
  <si>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</si>
  <si>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</si>
  <si>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</si>
  <si>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</si>
  <si>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</si>
  <si>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</si>
  <si>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</si>
  <si>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</si>
  <si>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</si>
  <si>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</si>
  <si>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</si>
  <si>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</si>
  <si>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</si>
  <si>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</si>
  <si>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</si>
  <si>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</si>
  <si>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</si>
  <si>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</si>
  <si>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</si>
  <si>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</si>
  <si>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</si>
  <si>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ssr_zone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</si>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</sst>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19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inlineStr">
        <is>
          <t>Imperial</t>
        </is>
      </c>
      <c r="F8" s="1" t="s">
        <v>19</v>
      </c>
      <c r="G8" t="s">
        <v>20</v>
      </c>
    </row>
    <row r="9" spans="1:7" x14ac:dyDescent="0.2">
      <c r="C9" s="14" t="s">
        <v>21</v>
      </c>
      <c r="D9" s="1"/>
      <c r="F9" s="1" t="s">
        <v>23</v>
      </c>
      <c r="G9" t="s">
        <v>24</v>
      </c>
    </row>
    <row r="10" spans="1:7" x14ac:dyDescent="0.2">
      <c r="C10" s="14" t="s">
        <v>25</v>
      </c>
      <c r="D10" s="1">
        <v>62.4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0.0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0.0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0.0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  <c r="D14"/>
    </row>
    <row r="15" spans="1:7" x14ac:dyDescent="0.2">
      <c r="C15" s="14" t="s">
        <v>47</v>
      </c>
      <c r="F15" s="1" t="s">
        <v>42</v>
      </c>
      <c r="G15" t="s">
        <v>43</v>
      </c>
      <c r="D15"/>
    </row>
    <row r="16" spans="1:7" x14ac:dyDescent="0.2">
      <c r="C16" s="14" t="s">
        <v>37</v>
      </c>
      <c r="F16" s="1" t="s">
        <v>45</v>
      </c>
      <c r="G16" t="s">
        <v>46</v>
      </c>
      <c r="D16"/>
    </row>
    <row r="17" spans="2:7" x14ac:dyDescent="0.2">
      <c r="B17" s="1"/>
      <c r="C17" s="14" t="s">
        <v>40</v>
      </c>
      <c r="D17" s="1"/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  <c r="D18"/>
    </row>
    <row r="19" spans="2:7" x14ac:dyDescent="0.2">
      <c r="C19" s="14" t="s">
        <v>53</v>
      </c>
      <c r="F19" s="1" t="s">
        <v>54</v>
      </c>
      <c r="G19" t="s">
        <v>55</v>
      </c>
      <c r="D19"/>
    </row>
    <row r="20" spans="2:7" x14ac:dyDescent="0.2">
      <c r="C20" s="14" t="s">
        <v>56</v>
      </c>
      <c r="F20" s="1" t="s">
        <v>57</v>
      </c>
      <c r="G20" s="9" t="s">
        <v>58</v>
      </c>
      <c r="D20"/>
    </row>
    <row r="21" spans="2:7" x14ac:dyDescent="0.2">
      <c r="C21" s="14" t="s">
        <v>59</v>
      </c>
      <c r="F21" s="1" t="s">
        <v>60</v>
      </c>
      <c r="G21" s="9" t="s">
        <v>61</v>
      </c>
      <c r="D21"/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303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86</v>
      </c>
      <c r="L2" s="6" t="s">
        <v>87</v>
      </c>
      <c r="P2" s="6" t="s">
        <v>88</v>
      </c>
      <c r="AE2" s="6"/>
      <c r="AK2" s="6" t="s">
        <v>89</v>
      </c>
    </row>
    <row r="3" spans="1:43" x14ac:dyDescent="0.2">
      <c r="C3" s="1" t="s">
        <v>90</v>
      </c>
      <c r="D3" t="s">
        <v>91</v>
      </c>
      <c r="P3" s="1" t="s">
        <v>92</v>
      </c>
      <c r="Q3" t="s">
        <v>93</v>
      </c>
      <c r="AE3" s="14"/>
      <c r="AK3" s="1" t="s">
        <v>94</v>
      </c>
      <c r="AL3" t="s">
        <v>95</v>
      </c>
    </row>
    <row r="4" spans="1:43" x14ac:dyDescent="0.2">
      <c r="C4" s="1" t="s">
        <v>96</v>
      </c>
      <c r="D4" t="s">
        <v>97</v>
      </c>
      <c r="L4" s="42"/>
      <c r="M4" t="s">
        <v>98</v>
      </c>
      <c r="P4" s="1" t="s">
        <v>32</v>
      </c>
      <c r="Q4" t="s">
        <v>99</v>
      </c>
      <c r="AE4" s="14"/>
      <c r="AK4" s="1" t="s">
        <v>100</v>
      </c>
      <c r="AL4" t="s">
        <v>101</v>
      </c>
    </row>
    <row r="5" spans="1:43" x14ac:dyDescent="0.2">
      <c r="C5" s="1" t="s">
        <v>102</v>
      </c>
      <c r="D5" t="s">
        <v>103</v>
      </c>
      <c r="L5" s="26"/>
      <c r="M5" s="9" t="s">
        <v>104</v>
      </c>
      <c r="P5" s="1" t="s">
        <v>105</v>
      </c>
      <c r="Q5" s="9" t="s">
        <v>106</v>
      </c>
      <c r="AE5" s="14"/>
      <c r="AK5" s="1" t="s">
        <v>107</v>
      </c>
      <c r="AL5" s="9" t="s">
        <v>108</v>
      </c>
    </row>
    <row r="6" spans="1:43" x14ac:dyDescent="0.2">
      <c r="C6" s="1" t="s">
        <v>109</v>
      </c>
      <c r="D6" s="9" t="s">
        <v>110</v>
      </c>
      <c r="L6" s="29"/>
      <c r="M6" s="9" t="s">
        <v>111</v>
      </c>
      <c r="P6" s="1" t="s">
        <v>112</v>
      </c>
      <c r="Q6" t="s">
        <v>113</v>
      </c>
      <c r="AF6" s="1"/>
      <c r="AG6" s="1"/>
    </row>
    <row r="7" spans="1:43" x14ac:dyDescent="0.2">
      <c r="C7" s="1" t="s">
        <v>114</v>
      </c>
      <c r="D7" s="9" t="s">
        <v>115</v>
      </c>
      <c r="AF7" s="1"/>
      <c r="AG7" s="1"/>
    </row>
    <row r="9" spans="1:43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3" t="s">
        <v>117</v>
      </c>
      <c r="AC9" s="54"/>
      <c r="AD9" s="54"/>
      <c r="AE9" s="54"/>
      <c r="AF9" s="54"/>
      <c r="AG9" s="54"/>
      <c r="AH9" s="53" t="s">
        <v>118</v>
      </c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3" t="s">
        <v>132</v>
      </c>
      <c r="P10" s="44" t="s">
        <v>133</v>
      </c>
      <c r="Q10" s="44" t="s">
        <v>112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4" t="s">
        <v>143</v>
      </c>
      <c r="AB10" s="46" t="s">
        <v>144</v>
      </c>
      <c r="AC10" s="46" t="s">
        <v>145</v>
      </c>
      <c r="AD10" s="47" t="s">
        <v>146</v>
      </c>
      <c r="AE10" s="46" t="s">
        <v>147</v>
      </c>
      <c r="AF10" s="46" t="s">
        <v>148</v>
      </c>
      <c r="AG10" s="47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  <c r="AQ10" s="23" t="s">
        <v>159</v>
      </c>
    </row>
    <row r="11" spans="1:43" x14ac:dyDescent="0.2">
      <c r="A11" s="3">
        <v>1</v>
      </c>
      <c r="B11" s="3" t="inlineStr">
        <is>
          <t>Soil 1</t>
        </is>
      </c>
      <c r="C11" s="3">
        <v>120.0</v>
      </c>
      <c r="D11" s="3"/>
      <c r="E11" s="3" t="inlineStr">
        <is>
          <t>mc</t>
        </is>
      </c>
      <c r="F11" s="3">
        <v>600.0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600.0</v>
      </c>
      <c r="M11" s="3">
        <v>1000000.0</v>
      </c>
      <c r="N11" s="3">
        <v>0.4</v>
      </c>
      <c r="O11" s="3"/>
      <c r="P11" s="3" t="inlineStr">
        <is>
          <t>none</t>
        </is>
      </c>
      <c r="Q11" s="3">
        <v>0.0</v>
      </c>
      <c r="R11" s="3"/>
      <c r="S11" s="3"/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1.2</v>
      </c>
      <c r="AC11" s="3">
        <v>1.8</v>
      </c>
      <c r="AD11" s="3">
        <v>2.744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 t="inlineStr">
        <is>
          <t>lf</t>
        </is>
      </c>
      <c r="AL11" s="3">
        <v>0.0</v>
      </c>
      <c r="AM11" s="3">
        <v>0.0</v>
      </c>
      <c r="AN11" s="3">
        <v>0.0</v>
      </c>
      <c r="AO11" s="3">
        <v>0.0</v>
      </c>
      <c r="AP11" s="3"/>
      <c r="AQ11" s="3"/>
    </row>
    <row r="12" spans="1:43" x14ac:dyDescent="0.2">
      <c r="A12" s="3">
        <v>2</v>
      </c>
      <c r="B12" s="3" t="inlineStr">
        <is>
          <t>Soil 2</t>
        </is>
      </c>
      <c r="C12" s="3">
        <v>100.0</v>
      </c>
      <c r="D12" s="3"/>
      <c r="E12" s="3" t="inlineStr">
        <is>
          <t>mc</t>
        </is>
      </c>
      <c r="F12" s="3">
        <v>400.0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400.0</v>
      </c>
      <c r="M12" s="3">
        <v>1000000.0</v>
      </c>
      <c r="N12" s="3">
        <v>0.4</v>
      </c>
      <c r="O12" s="3"/>
      <c r="P12" s="3" t="inlineStr">
        <is>
          <t>none</t>
        </is>
      </c>
      <c r="Q12" s="3">
        <v>0.0</v>
      </c>
      <c r="R12" s="3"/>
      <c r="S12" s="3"/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1.2</v>
      </c>
      <c r="AC12" s="3">
        <v>1.8</v>
      </c>
      <c r="AD12" s="3">
        <v>2.744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 t="inlineStr">
        <is>
          <t>lf</t>
        </is>
      </c>
      <c r="AL12" s="3">
        <v>0.0</v>
      </c>
      <c r="AM12" s="3">
        <v>0.0</v>
      </c>
      <c r="AN12" s="18">
        <v>0.0</v>
      </c>
      <c r="AO12" s="19">
        <v>0.0</v>
      </c>
      <c r="AP12" s="19"/>
      <c r="AQ12" s="19"/>
    </row>
    <row r="13" spans="1:43" x14ac:dyDescent="0.2">
      <c r="A13" s="3">
        <v>3</v>
      </c>
      <c r="B13" s="3" t="inlineStr">
        <is>
          <t>Soil 3</t>
        </is>
      </c>
      <c r="C13" s="3">
        <v>105.0</v>
      </c>
      <c r="D13" s="3"/>
      <c r="E13" s="3" t="inlineStr">
        <is>
          <t>mc</t>
        </is>
      </c>
      <c r="F13" s="3">
        <v>500.0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500.0</v>
      </c>
      <c r="M13" s="3">
        <v>1000000.0</v>
      </c>
      <c r="N13" s="3">
        <v>0.4</v>
      </c>
      <c r="O13" s="3"/>
      <c r="P13" s="3" t="inlineStr">
        <is>
          <t>none</t>
        </is>
      </c>
      <c r="Q13" s="3">
        <v>0.0</v>
      </c>
      <c r="R13" s="3"/>
      <c r="S13" s="3"/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1.2</v>
      </c>
      <c r="AC13" s="3">
        <v>1.8</v>
      </c>
      <c r="AD13" s="3">
        <v>2.744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 t="inlineStr">
        <is>
          <t>lf</t>
        </is>
      </c>
      <c r="AL13" s="3">
        <v>0.0</v>
      </c>
      <c r="AM13" s="3">
        <v>0.0</v>
      </c>
      <c r="AN13" s="18">
        <v>0.0</v>
      </c>
      <c r="AO13" s="19">
        <v>0.0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1:3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1:3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1:3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1:3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1:3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1:3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1:3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1:3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1:3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1:3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1:3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1:3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1:3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1:3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1:3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1:3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1:3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1:3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1:3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1:33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</sheetData>
  <mergeCells count="3">
    <mergeCell ref="C9:AA9"/>
    <mergeCell ref="AB9:AG9"/>
    <mergeCell ref="AH9:AQ9"/>
  </mergeCells>
  <conditionalFormatting sqref="F11:K52 AC11:AG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S52">
    <cfRule type="expression" dxfId="14" priority="4">
      <formula>$E11="elastic"</formula>
    </cfRule>
  </conditionalFormatting>
  <conditionalFormatting sqref="Q11:Q52">
    <cfRule type="expression" dxfId="13" priority="13">
      <formula>AND($P11&lt;&gt;"",$P11&lt;&gt;"ru")</formula>
    </cfRule>
  </conditionalFormatting>
  <conditionalFormatting sqref="R11:S52">
    <cfRule type="expression" dxfId="12" priority="3">
      <formula>$E11="cp"</formula>
    </cfRule>
    <cfRule type="expression" dxfId="11" priority="5">
      <formula>AND($P11&lt;&gt;"",$P11&lt;&gt;"piezo",$P11&lt;&gt;"seep")</formula>
    </cfRule>
  </conditionalFormatting>
  <conditionalFormatting sqref="T11:W52">
    <cfRule type="expression" dxfId="10" priority="11">
      <formula>AND($E11&lt;&gt;"",$E11&lt;&gt;"pow")</formula>
    </cfRule>
  </conditionalFormatting>
  <conditionalFormatting sqref="X11:AA52">
    <cfRule type="expression" dxfId="9" priority="12">
      <formula>AND($E11&lt;&gt;"",$E11&lt;&gt;"hb")</formula>
    </cfRule>
  </conditionalFormatting>
  <conditionalFormatting sqref="AC11:AG52">
    <cfRule type="expression" dxfId="8" priority="21">
      <formula>$E11="elastic"</formula>
    </cfRule>
  </conditionalFormatting>
  <conditionalFormatting sqref="AD11:AD52">
    <cfRule type="expression" dxfId="7" priority="14">
      <formula>$E11="cp"</formula>
    </cfRule>
  </conditionalFormatting>
  <conditionalFormatting sqref="AE11:AE52">
    <cfRule type="expression" dxfId="6" priority="15">
      <formula>$E11="mc"</formula>
    </cfRule>
  </conditionalFormatting>
  <conditionalFormatting sqref="AF11:AG52">
    <cfRule type="expression" dxfId="5" priority="16">
      <formula>$E11="cp"</formula>
    </cfRule>
  </conditionalFormatting>
  <conditionalFormatting sqref="AL11:AM52">
    <cfRule type="expression" dxfId="4" priority="17">
      <formula>OR($AK11="vg",$AK11="gard")</formula>
    </cfRule>
  </conditionalFormatting>
  <conditionalFormatting sqref="AN11:AO52">
    <cfRule type="expression" dxfId="3" priority="1">
      <formula>$AK11="lf"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K11:AK102" xr:uid="{00000000-0002-0000-0200-000001000000}">
      <formula1>$AK$3:$AK$5</formula1>
    </dataValidation>
    <dataValidation type="list" allowBlank="1" sqref="P11:P52" xr:uid="{00000000-0002-0000-0200-000002000000}">
      <formula1>$P$3:$P$6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160</v>
      </c>
      <c r="B2" s="3">
        <v>-20.0</v>
      </c>
      <c r="D2" s="24" t="s">
        <v>161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165</v>
      </c>
      <c r="K4" s="52"/>
      <c r="M4" s="55" t="s">
        <v>166</v>
      </c>
      <c r="N4" s="52"/>
      <c r="P4" s="55" t="s">
        <v>167</v>
      </c>
      <c r="Q4" s="54"/>
      <c r="R4" s="1"/>
      <c r="S4" s="55" t="s">
        <v>168</v>
      </c>
      <c r="T4" s="54"/>
      <c r="U4" s="1"/>
      <c r="V4" s="55" t="s">
        <v>169</v>
      </c>
      <c r="W4" s="54"/>
      <c r="X4" s="1"/>
      <c r="Y4" s="55" t="s">
        <v>170</v>
      </c>
      <c r="Z4" s="54"/>
      <c r="AA4" s="1"/>
      <c r="AB4" s="55" t="s">
        <v>171</v>
      </c>
      <c r="AC4" s="54"/>
      <c r="AE4" s="55" t="s">
        <v>172</v>
      </c>
      <c r="AF4" s="54"/>
      <c r="AG4" s="1"/>
      <c r="AH4" s="55" t="s">
        <v>173</v>
      </c>
      <c r="AI4" s="54"/>
      <c r="AJ4" s="1"/>
      <c r="AK4" s="55" t="s">
        <v>174</v>
      </c>
      <c r="AL4" s="54"/>
      <c r="AM4" s="1"/>
      <c r="AN4" s="55" t="s">
        <v>175</v>
      </c>
      <c r="AO4" s="54"/>
      <c r="AP4" s="1"/>
      <c r="AQ4" s="55" t="s">
        <v>176</v>
      </c>
      <c r="AR4" s="54"/>
    </row>
    <row r="5" spans="1:44" x14ac:dyDescent="0.2">
      <c r="A5" s="36" t="s">
        <v>177</v>
      </c>
      <c r="B5" s="37">
        <v>1</v>
      </c>
      <c r="D5" s="36" t="s">
        <v>177</v>
      </c>
      <c r="E5" s="37">
        <v>2</v>
      </c>
      <c r="G5" s="36" t="s">
        <v>177</v>
      </c>
      <c r="H5" s="37">
        <v>3</v>
      </c>
      <c r="J5" s="36" t="s">
        <v>177</v>
      </c>
      <c r="K5" s="37">
        <v>4</v>
      </c>
      <c r="M5" s="36" t="s">
        <v>177</v>
      </c>
      <c r="N5" s="37">
        <v>5</v>
      </c>
      <c r="P5" s="36" t="s">
        <v>177</v>
      </c>
      <c r="Q5" s="37">
        <v>6</v>
      </c>
      <c r="R5" s="1"/>
      <c r="S5" s="36" t="s">
        <v>177</v>
      </c>
      <c r="T5" s="37">
        <v>7</v>
      </c>
      <c r="U5" s="1"/>
      <c r="V5" s="36" t="s">
        <v>177</v>
      </c>
      <c r="W5" s="37">
        <v>8</v>
      </c>
      <c r="X5" s="1"/>
      <c r="Y5" s="36" t="s">
        <v>177</v>
      </c>
      <c r="Z5" s="37">
        <v>9</v>
      </c>
      <c r="AA5" s="1"/>
      <c r="AB5" s="36" t="s">
        <v>177</v>
      </c>
      <c r="AC5" s="37">
        <v>10</v>
      </c>
      <c r="AE5" s="36" t="s">
        <v>177</v>
      </c>
      <c r="AF5" s="37">
        <v>11</v>
      </c>
      <c r="AG5" s="1"/>
      <c r="AH5" s="36" t="s">
        <v>177</v>
      </c>
      <c r="AI5" s="37">
        <v>12</v>
      </c>
      <c r="AJ5" s="1"/>
      <c r="AK5" s="36" t="s">
        <v>177</v>
      </c>
      <c r="AL5" s="37">
        <v>13</v>
      </c>
      <c r="AM5" s="1"/>
      <c r="AN5" s="36" t="s">
        <v>177</v>
      </c>
      <c r="AO5" s="37">
        <v>14</v>
      </c>
      <c r="AP5" s="1"/>
      <c r="AQ5" s="36" t="s">
        <v>177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178</v>
      </c>
      <c r="B7" s="2" t="s">
        <v>179</v>
      </c>
      <c r="D7" s="2" t="s">
        <v>178</v>
      </c>
      <c r="E7" s="2" t="s">
        <v>179</v>
      </c>
      <c r="G7" s="2" t="s">
        <v>178</v>
      </c>
      <c r="H7" s="2" t="s">
        <v>179</v>
      </c>
      <c r="J7" s="2" t="s">
        <v>178</v>
      </c>
      <c r="K7" s="2" t="s">
        <v>179</v>
      </c>
      <c r="M7" s="2" t="s">
        <v>178</v>
      </c>
      <c r="N7" s="2" t="s">
        <v>179</v>
      </c>
      <c r="P7" s="2" t="s">
        <v>178</v>
      </c>
      <c r="Q7" s="2" t="s">
        <v>179</v>
      </c>
      <c r="R7" s="1"/>
      <c r="S7" s="2" t="s">
        <v>178</v>
      </c>
      <c r="T7" s="2" t="s">
        <v>179</v>
      </c>
      <c r="U7" s="1"/>
      <c r="V7" s="2" t="s">
        <v>178</v>
      </c>
      <c r="W7" s="2" t="s">
        <v>179</v>
      </c>
      <c r="X7" s="1"/>
      <c r="Y7" s="2" t="s">
        <v>178</v>
      </c>
      <c r="Z7" s="2" t="s">
        <v>179</v>
      </c>
      <c r="AA7" s="1"/>
      <c r="AB7" s="2" t="s">
        <v>178</v>
      </c>
      <c r="AC7" s="2" t="s">
        <v>179</v>
      </c>
      <c r="AE7" s="2" t="s">
        <v>178</v>
      </c>
      <c r="AF7" s="2" t="s">
        <v>179</v>
      </c>
      <c r="AG7" s="1"/>
      <c r="AH7" s="2" t="s">
        <v>178</v>
      </c>
      <c r="AI7" s="2" t="s">
        <v>179</v>
      </c>
      <c r="AJ7" s="1"/>
      <c r="AK7" s="2" t="s">
        <v>178</v>
      </c>
      <c r="AL7" s="2" t="s">
        <v>179</v>
      </c>
      <c r="AM7" s="1"/>
      <c r="AN7" s="2" t="s">
        <v>178</v>
      </c>
      <c r="AO7" s="2" t="s">
        <v>179</v>
      </c>
      <c r="AP7" s="1"/>
      <c r="AQ7" s="2" t="s">
        <v>178</v>
      </c>
      <c r="AR7" s="2" t="s">
        <v>179</v>
      </c>
    </row>
    <row r="8" spans="1:44" x14ac:dyDescent="0.2">
      <c r="A8" s="3">
        <v>-10.0</v>
      </c>
      <c r="B8" s="3">
        <v>-20.0</v>
      </c>
      <c r="D8" s="3">
        <v>-10.0</v>
      </c>
      <c r="E8" s="3">
        <v>-20.0</v>
      </c>
      <c r="G8" s="3">
        <v>-10.0</v>
      </c>
      <c r="H8" s="3">
        <v>-20.0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-8.0</v>
      </c>
      <c r="D9" s="3">
        <v>0.0</v>
      </c>
      <c r="E9" s="3">
        <v>-8.0</v>
      </c>
      <c r="G9" s="3">
        <v>0.0</v>
      </c>
      <c r="H9" s="3">
        <v>-8.0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40.0</v>
      </c>
      <c r="B10" s="3">
        <v>-8.0</v>
      </c>
      <c r="D10" s="3">
        <v>40.0</v>
      </c>
      <c r="E10" s="3">
        <v>-8.0</v>
      </c>
      <c r="G10" s="3">
        <v>100.0</v>
      </c>
      <c r="H10" s="3">
        <v>-8.0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4.0</v>
      </c>
      <c r="D11" s="3">
        <v>50.0</v>
      </c>
      <c r="E11" s="3">
        <v>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60.0</v>
      </c>
      <c r="B12" s="3">
        <v>16.0</v>
      </c>
      <c r="D12" s="3">
        <v>100.0</v>
      </c>
      <c r="E12" s="3">
        <v>4.0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100.0</v>
      </c>
      <c r="B13" s="3">
        <v>16.0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B4:AC4"/>
    <mergeCell ref="AN4:A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180</v>
      </c>
    </row>
    <row r="4" spans="1:44" x14ac:dyDescent="0.2">
      <c r="A4" s="55" t="s">
        <v>181</v>
      </c>
      <c r="B4" s="52"/>
      <c r="D4" s="55" t="s">
        <v>182</v>
      </c>
      <c r="E4" s="52"/>
      <c r="G4" s="55" t="s">
        <v>183</v>
      </c>
      <c r="H4" s="52"/>
      <c r="J4" s="55" t="s">
        <v>184</v>
      </c>
      <c r="K4" s="52"/>
      <c r="M4" s="55" t="s">
        <v>185</v>
      </c>
      <c r="N4" s="52"/>
      <c r="P4" s="55" t="s">
        <v>186</v>
      </c>
      <c r="Q4" s="54"/>
      <c r="R4" s="1"/>
      <c r="S4" s="55" t="s">
        <v>187</v>
      </c>
      <c r="T4" s="54"/>
      <c r="U4" s="1"/>
      <c r="V4" s="55" t="s">
        <v>188</v>
      </c>
      <c r="W4" s="54"/>
      <c r="X4" s="1"/>
      <c r="Y4" s="55" t="s">
        <v>189</v>
      </c>
      <c r="Z4" s="54"/>
      <c r="AA4" s="1"/>
      <c r="AB4" s="55" t="s">
        <v>190</v>
      </c>
      <c r="AC4" s="54"/>
      <c r="AE4" s="55" t="s">
        <v>191</v>
      </c>
      <c r="AF4" s="54"/>
      <c r="AG4" s="1"/>
      <c r="AH4" s="55" t="s">
        <v>192</v>
      </c>
      <c r="AI4" s="54"/>
      <c r="AJ4" s="1"/>
      <c r="AK4" s="55" t="s">
        <v>193</v>
      </c>
      <c r="AL4" s="54"/>
      <c r="AM4" s="1"/>
      <c r="AN4" s="55" t="s">
        <v>194</v>
      </c>
      <c r="AO4" s="54"/>
      <c r="AP4" s="1"/>
      <c r="AQ4" s="55" t="s">
        <v>195</v>
      </c>
      <c r="AR4" s="54"/>
    </row>
    <row r="5" spans="1:44" x14ac:dyDescent="0.2">
      <c r="A5" s="38" t="s">
        <v>177</v>
      </c>
      <c r="B5" s="39">
        <v>1</v>
      </c>
      <c r="D5" s="38" t="s">
        <v>177</v>
      </c>
      <c r="E5" s="39">
        <v>2</v>
      </c>
      <c r="G5" s="38" t="s">
        <v>177</v>
      </c>
      <c r="H5" s="39">
        <v>3</v>
      </c>
      <c r="J5" s="38" t="s">
        <v>177</v>
      </c>
      <c r="K5" s="39">
        <v>4</v>
      </c>
      <c r="M5" s="38" t="s">
        <v>177</v>
      </c>
      <c r="N5" s="39">
        <v>5</v>
      </c>
      <c r="P5" s="38" t="s">
        <v>177</v>
      </c>
      <c r="Q5" s="39">
        <v>6</v>
      </c>
      <c r="R5" s="1"/>
      <c r="S5" s="38" t="s">
        <v>177</v>
      </c>
      <c r="T5" s="39">
        <v>7</v>
      </c>
      <c r="U5" s="1"/>
      <c r="V5" s="38" t="s">
        <v>177</v>
      </c>
      <c r="W5" s="39">
        <v>8</v>
      </c>
      <c r="X5" s="1"/>
      <c r="Y5" s="38" t="s">
        <v>177</v>
      </c>
      <c r="Z5" s="39">
        <v>9</v>
      </c>
      <c r="AA5" s="1"/>
      <c r="AB5" s="38" t="s">
        <v>177</v>
      </c>
      <c r="AC5" s="39">
        <v>10</v>
      </c>
      <c r="AE5" s="38" t="s">
        <v>177</v>
      </c>
      <c r="AF5" s="39">
        <v>11</v>
      </c>
      <c r="AG5" s="1"/>
      <c r="AH5" s="38" t="s">
        <v>177</v>
      </c>
      <c r="AI5" s="39">
        <v>12</v>
      </c>
      <c r="AJ5" s="1"/>
      <c r="AK5" s="38" t="s">
        <v>177</v>
      </c>
      <c r="AL5" s="39">
        <v>13</v>
      </c>
      <c r="AM5" s="1"/>
      <c r="AN5" s="38" t="s">
        <v>177</v>
      </c>
      <c r="AO5" s="39">
        <v>14</v>
      </c>
      <c r="AP5" s="1"/>
      <c r="AQ5" s="38" t="s">
        <v>177</v>
      </c>
      <c r="AR5" s="39">
        <v>15</v>
      </c>
    </row>
    <row r="6" spans="1:44" x14ac:dyDescent="0.2">
      <c r="A6" s="58" t="str">
        <f>_xlfn.XLOOKUP(B5,mat!$A:$A, mat!$B:$B,"") &amp; ""</f>
        <v/>
      </c>
      <c r="B6" s="57"/>
      <c r="D6" s="58" t="str">
        <f>_xlfn.XLOOKUP(E5,mat!$A:$A, mat!$B:$B,"") &amp; ""</f>
        <v/>
      </c>
      <c r="E6" s="57"/>
      <c r="G6" s="58" t="str">
        <f>_xlfn.XLOOKUP(H5,mat!$A:$A, mat!$B:$B,"") &amp; ""</f>
        <v/>
      </c>
      <c r="H6" s="57"/>
      <c r="J6" s="58" t="str">
        <f>_xlfn.XLOOKUP(K5,mat!$A:$A, mat!$B:$B,"") &amp; ""</f>
        <v/>
      </c>
      <c r="K6" s="57"/>
      <c r="M6" s="58" t="str">
        <f>_xlfn.XLOOKUP(N5,mat!$A:$A, mat!$B:$B,"") &amp; ""</f>
        <v/>
      </c>
      <c r="N6" s="57"/>
      <c r="P6" s="58" t="str">
        <f>_xlfn.XLOOKUP(Q5,mat!$A:$A, mat!$B:$B,"") &amp; ""</f>
        <v/>
      </c>
      <c r="Q6" s="57"/>
      <c r="R6" s="1"/>
      <c r="S6" s="58" t="str">
        <f>_xlfn.XLOOKUP(T5,mat!$A:$A, mat!$B:$B,"") &amp; ""</f>
        <v/>
      </c>
      <c r="T6" s="57"/>
      <c r="U6" s="1"/>
      <c r="V6" s="58" t="str">
        <f>_xlfn.XLOOKUP(W5,mat!$A:$A, mat!$B:$B,"") &amp; ""</f>
        <v/>
      </c>
      <c r="W6" s="57"/>
      <c r="X6" s="1"/>
      <c r="Y6" s="58" t="str">
        <f>_xlfn.XLOOKUP(Z5,mat!$A:$A, mat!$B:$B,"") &amp; ""</f>
        <v/>
      </c>
      <c r="Z6" s="57"/>
      <c r="AA6" s="1"/>
      <c r="AB6" s="58" t="str">
        <f>_xlfn.XLOOKUP(AC5,mat!$A:$A, mat!$B:$B,"") &amp; ""</f>
        <v/>
      </c>
      <c r="AC6" s="57"/>
      <c r="AE6" s="58" t="str">
        <f>_xlfn.XLOOKUP(AF5,mat!$A:$A, mat!$B:$B,"") &amp; ""</f>
        <v/>
      </c>
      <c r="AF6" s="57"/>
      <c r="AG6" s="1"/>
      <c r="AH6" s="58" t="str">
        <f>_xlfn.XLOOKUP(AI5,mat!$A:$A, mat!$B:$B,"") &amp; ""</f>
        <v/>
      </c>
      <c r="AI6" s="57"/>
      <c r="AJ6" s="1"/>
      <c r="AK6" s="58" t="str">
        <f>_xlfn.XLOOKUP(AL5,mat!$A:$A, mat!$B:$B,"") &amp; ""</f>
        <v/>
      </c>
      <c r="AL6" s="57"/>
      <c r="AM6" s="1"/>
      <c r="AN6" s="58" t="str">
        <f>_xlfn.XLOOKUP(AO5,mat!$A:$A, mat!$B:$B,"") &amp; ""</f>
        <v/>
      </c>
      <c r="AO6" s="57"/>
      <c r="AP6" s="1"/>
      <c r="AQ6" s="58" t="str">
        <f>_xlfn.XLOOKUP(AR5,mat!$A:$A, mat!$B:$B,"") &amp; ""</f>
        <v/>
      </c>
      <c r="AR6" s="57"/>
    </row>
    <row r="7" spans="1:44" x14ac:dyDescent="0.2">
      <c r="A7" s="2" t="s">
        <v>178</v>
      </c>
      <c r="B7" s="2" t="s">
        <v>179</v>
      </c>
      <c r="D7" s="2" t="s">
        <v>178</v>
      </c>
      <c r="E7" s="2" t="s">
        <v>179</v>
      </c>
      <c r="G7" s="2" t="s">
        <v>178</v>
      </c>
      <c r="H7" s="2" t="s">
        <v>179</v>
      </c>
      <c r="J7" s="2" t="s">
        <v>178</v>
      </c>
      <c r="K7" s="2" t="s">
        <v>179</v>
      </c>
      <c r="M7" s="2" t="s">
        <v>178</v>
      </c>
      <c r="N7" s="2" t="s">
        <v>179</v>
      </c>
      <c r="P7" s="2" t="s">
        <v>178</v>
      </c>
      <c r="Q7" s="2" t="s">
        <v>179</v>
      </c>
      <c r="R7" s="1"/>
      <c r="S7" s="2" t="s">
        <v>178</v>
      </c>
      <c r="T7" s="2" t="s">
        <v>179</v>
      </c>
      <c r="U7" s="1"/>
      <c r="V7" s="2" t="s">
        <v>178</v>
      </c>
      <c r="W7" s="2" t="s">
        <v>179</v>
      </c>
      <c r="X7" s="1"/>
      <c r="Y7" s="2" t="s">
        <v>178</v>
      </c>
      <c r="Z7" s="2" t="s">
        <v>179</v>
      </c>
      <c r="AA7" s="1"/>
      <c r="AB7" s="2" t="s">
        <v>178</v>
      </c>
      <c r="AC7" s="2" t="s">
        <v>179</v>
      </c>
      <c r="AE7" s="2" t="s">
        <v>178</v>
      </c>
      <c r="AF7" s="2" t="s">
        <v>179</v>
      </c>
      <c r="AG7" s="1"/>
      <c r="AH7" s="2" t="s">
        <v>178</v>
      </c>
      <c r="AI7" s="2" t="s">
        <v>179</v>
      </c>
      <c r="AJ7" s="1"/>
      <c r="AK7" s="2" t="s">
        <v>178</v>
      </c>
      <c r="AL7" s="2" t="s">
        <v>179</v>
      </c>
      <c r="AM7" s="1"/>
      <c r="AN7" s="2" t="s">
        <v>178</v>
      </c>
      <c r="AO7" s="2" t="s">
        <v>179</v>
      </c>
      <c r="AP7" s="1"/>
      <c r="AQ7" s="2" t="s">
        <v>178</v>
      </c>
      <c r="AR7" s="2" t="s">
        <v>179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B4:AC4"/>
    <mergeCell ref="AN4:A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196</v>
      </c>
      <c r="B2" s="54"/>
      <c r="D2" s="60" t="s">
        <v>197</v>
      </c>
      <c r="E2" s="54"/>
      <c r="G2" s="22" t="s">
        <v>198</v>
      </c>
    </row>
    <row r="3" spans="1:8" x14ac:dyDescent="0.2">
      <c r="A3" s="32" t="s">
        <v>199</v>
      </c>
      <c r="B3" s="33" t="inlineStr">
        <is>
          <t>piezo</t>
        </is>
      </c>
      <c r="D3" s="34" t="s">
        <v>199</v>
      </c>
      <c r="E3" s="35" t="inlineStr">
        <is>
          <t>piezo</t>
        </is>
      </c>
      <c r="G3" s="22"/>
    </row>
    <row r="4" spans="1:8" x14ac:dyDescent="0.2">
      <c r="A4" s="2" t="s">
        <v>178</v>
      </c>
      <c r="B4" s="2" t="s">
        <v>179</v>
      </c>
      <c r="D4" s="2" t="s">
        <v>178</v>
      </c>
      <c r="E4" s="2" t="s">
        <v>179</v>
      </c>
      <c r="G4" s="6" t="s">
        <v>200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201</v>
      </c>
    </row>
    <row r="6" spans="1:8" x14ac:dyDescent="0.2">
      <c r="A6" s="3"/>
      <c r="B6" s="3"/>
      <c r="D6" s="3"/>
      <c r="E6" s="3"/>
      <c r="G6" s="1" t="s">
        <v>202</v>
      </c>
      <c r="H6" t="s">
        <v>203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204</v>
      </c>
      <c r="B2" s="13" t="s">
        <v>205</v>
      </c>
      <c r="C2" s="13" t="s">
        <v>206</v>
      </c>
      <c r="D2" s="13" t="s">
        <v>207</v>
      </c>
      <c r="E2" s="13" t="s">
        <v>208</v>
      </c>
      <c r="F2" s="13" t="s">
        <v>209</v>
      </c>
      <c r="G2" s="13" t="s">
        <v>210</v>
      </c>
      <c r="H2" s="13" t="s">
        <v>211</v>
      </c>
      <c r="J2" s="5" t="s">
        <v>212</v>
      </c>
      <c r="K2" s="10" t="s">
        <v>16</v>
      </c>
    </row>
    <row r="3" spans="1:14" x14ac:dyDescent="0.2">
      <c r="A3" s="3">
        <v>1</v>
      </c>
      <c r="B3" s="3">
        <v>48.4</v>
      </c>
      <c r="C3" s="3">
        <v>28.0</v>
      </c>
      <c r="D3" s="3" t="inlineStr">
        <is>
          <t>Depth</t>
        </is>
      </c>
      <c r="E3" s="3">
        <v>-20.0</v>
      </c>
      <c r="F3" s="3"/>
      <c r="G3" s="3"/>
      <c r="H3" s="3"/>
      <c r="J3" s="1" t="s">
        <v>208</v>
      </c>
      <c r="K3" s="9" t="s">
        <v>213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214</v>
      </c>
      <c r="K4" s="9" t="s">
        <v>215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216</v>
      </c>
      <c r="K5" t="s">
        <v>217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220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223</v>
      </c>
      <c r="K12"/>
    </row>
    <row r="13" spans="1:14" x14ac:dyDescent="0.2">
      <c r="J13" s="14" t="s">
        <v>224</v>
      </c>
      <c r="K13"/>
    </row>
    <row r="14" spans="1:14" x14ac:dyDescent="0.2">
      <c r="J14" s="14" t="s">
        <v>225</v>
      </c>
      <c r="K14"/>
    </row>
    <row r="15" spans="1:14" x14ac:dyDescent="0.2">
      <c r="J15" s="14" t="s">
        <v>226</v>
      </c>
      <c r="K15"/>
    </row>
    <row r="16" spans="1:14" x14ac:dyDescent="0.2">
      <c r="J16" s="14" t="s">
        <v>227</v>
      </c>
      <c r="K16" s="1"/>
      <c r="L16" s="1"/>
      <c r="M16" s="1"/>
      <c r="N16" s="1"/>
    </row>
    <row r="17" spans="10:10" x14ac:dyDescent="0.2">
      <c r="J17" s="14" t="s">
        <v>228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229</v>
      </c>
      <c r="B2" s="11" t="s">
        <v>230</v>
      </c>
      <c r="C2" s="12" t="s">
        <v>231</v>
      </c>
      <c r="E2" s="6" t="s">
        <v>212</v>
      </c>
      <c r="F2" s="6" t="s">
        <v>16</v>
      </c>
    </row>
    <row r="3" spans="1:6" x14ac:dyDescent="0.2">
      <c r="A3" s="3"/>
      <c r="B3" s="3"/>
      <c r="C3" s="3"/>
      <c r="E3" t="s">
        <v>232</v>
      </c>
      <c r="F3" t="s">
        <v>233</v>
      </c>
    </row>
    <row r="4" spans="1:6" x14ac:dyDescent="0.2">
      <c r="A4" s="3"/>
      <c r="B4" s="3"/>
      <c r="C4" s="3"/>
      <c r="E4" t="s">
        <v>234</v>
      </c>
      <c r="F4" t="s">
        <v>235</v>
      </c>
    </row>
    <row r="5" spans="1:6" x14ac:dyDescent="0.2">
      <c r="A5" s="3"/>
      <c r="B5" s="3"/>
      <c r="C5" s="3"/>
      <c r="E5" t="s">
        <v>236</v>
      </c>
      <c r="F5" t="s">
        <v>237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238</v>
      </c>
      <c r="C2" s="62"/>
      <c r="D2" s="62"/>
      <c r="F2" s="61" t="s">
        <v>239</v>
      </c>
      <c r="G2" s="62"/>
      <c r="H2" s="62"/>
      <c r="J2" s="61" t="s">
        <v>240</v>
      </c>
      <c r="K2" s="62"/>
      <c r="L2" s="62"/>
      <c r="N2" s="61" t="s">
        <v>241</v>
      </c>
      <c r="O2" s="62"/>
      <c r="P2" s="62"/>
      <c r="R2" s="61" t="s">
        <v>242</v>
      </c>
      <c r="S2" s="62"/>
      <c r="T2" s="62"/>
      <c r="V2" s="61" t="s">
        <v>243</v>
      </c>
      <c r="W2" s="62"/>
      <c r="X2" s="62"/>
    </row>
    <row r="3" spans="2:24" x14ac:dyDescent="0.2">
      <c r="B3" s="2" t="s">
        <v>229</v>
      </c>
      <c r="C3" s="2" t="s">
        <v>230</v>
      </c>
      <c r="D3" s="2" t="s">
        <v>244</v>
      </c>
      <c r="F3" s="2" t="s">
        <v>229</v>
      </c>
      <c r="G3" s="2" t="s">
        <v>230</v>
      </c>
      <c r="H3" s="2" t="s">
        <v>244</v>
      </c>
      <c r="J3" s="2" t="s">
        <v>229</v>
      </c>
      <c r="K3" s="2" t="s">
        <v>230</v>
      </c>
      <c r="L3" s="2" t="s">
        <v>244</v>
      </c>
      <c r="N3" s="2" t="s">
        <v>229</v>
      </c>
      <c r="O3" s="2" t="s">
        <v>230</v>
      </c>
      <c r="P3" s="2" t="s">
        <v>244</v>
      </c>
      <c r="R3" s="2" t="s">
        <v>229</v>
      </c>
      <c r="S3" s="2" t="s">
        <v>230</v>
      </c>
      <c r="T3" s="2" t="s">
        <v>244</v>
      </c>
      <c r="V3" s="2" t="s">
        <v>229</v>
      </c>
      <c r="W3" s="2" t="s">
        <v>230</v>
      </c>
      <c r="X3" s="2" t="s">
        <v>244</v>
      </c>
    </row>
    <row r="4" spans="2:24" x14ac:dyDescent="0.2">
      <c r="B4" s="3">
        <v>-10.0</v>
      </c>
      <c r="C4" s="3">
        <v>-20.0</v>
      </c>
      <c r="D4" s="3">
        <v>1248.0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0.0</v>
      </c>
      <c r="C5" s="3">
        <v>-8.0</v>
      </c>
      <c r="D5" s="3">
        <v>499.2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40.0</v>
      </c>
      <c r="C6" s="3">
        <v>-8.0</v>
      </c>
      <c r="D6" s="3">
        <v>499.2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>
        <v>46.667</v>
      </c>
      <c r="C7" s="3">
        <v>0.0</v>
      </c>
      <c r="D7" s="3">
        <v>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V2:X2"/>
    <mergeCell ref="J2:L2"/>
    <mergeCell ref="N2:P2"/>
    <mergeCell ref="R2:T2"/>
    <mergeCell ref="F2:H2"/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245</v>
      </c>
      <c r="C2" s="62"/>
      <c r="D2" s="62"/>
      <c r="F2" s="63" t="s">
        <v>246</v>
      </c>
      <c r="G2" s="62"/>
      <c r="H2" s="62"/>
      <c r="J2" s="63" t="s">
        <v>247</v>
      </c>
      <c r="K2" s="62"/>
      <c r="L2" s="62"/>
      <c r="N2" s="63" t="s">
        <v>248</v>
      </c>
      <c r="O2" s="62"/>
      <c r="P2" s="62"/>
      <c r="R2" s="63" t="s">
        <v>249</v>
      </c>
      <c r="S2" s="62"/>
      <c r="T2" s="62"/>
      <c r="V2" s="63" t="s">
        <v>250</v>
      </c>
      <c r="W2" s="62"/>
      <c r="X2" s="62"/>
    </row>
    <row r="3" spans="2:24" x14ac:dyDescent="0.2">
      <c r="B3" s="2" t="s">
        <v>229</v>
      </c>
      <c r="C3" s="2" t="s">
        <v>230</v>
      </c>
      <c r="D3" s="2" t="s">
        <v>244</v>
      </c>
      <c r="F3" s="2" t="s">
        <v>229</v>
      </c>
      <c r="G3" s="2" t="s">
        <v>230</v>
      </c>
      <c r="H3" s="2" t="s">
        <v>244</v>
      </c>
      <c r="J3" s="2" t="s">
        <v>229</v>
      </c>
      <c r="K3" s="2" t="s">
        <v>230</v>
      </c>
      <c r="L3" s="2" t="s">
        <v>244</v>
      </c>
      <c r="N3" s="2" t="s">
        <v>229</v>
      </c>
      <c r="O3" s="2" t="s">
        <v>230</v>
      </c>
      <c r="P3" s="2" t="s">
        <v>244</v>
      </c>
      <c r="R3" s="2" t="s">
        <v>229</v>
      </c>
      <c r="S3" s="2" t="s">
        <v>230</v>
      </c>
      <c r="T3" s="2" t="s">
        <v>244</v>
      </c>
      <c r="V3" s="2" t="s">
        <v>229</v>
      </c>
      <c r="W3" s="2" t="s">
        <v>230</v>
      </c>
      <c r="X3" s="2" t="s">
        <v>244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V2:X2"/>
    <mergeCell ref="J2:L2"/>
    <mergeCell ref="N2:P2"/>
    <mergeCell ref="R2:T2"/>
    <mergeCell ref="F2:H2"/>
    <mergeCell ref="B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204</v>
      </c>
      <c r="B2" s="12" t="s">
        <v>251</v>
      </c>
      <c r="C2" s="12" t="s">
        <v>252</v>
      </c>
      <c r="D2" s="12" t="s">
        <v>253</v>
      </c>
      <c r="E2" s="12" t="s">
        <v>254</v>
      </c>
      <c r="F2" s="12" t="s">
        <v>255</v>
      </c>
      <c r="G2" s="40" t="s">
        <v>256</v>
      </c>
      <c r="H2" s="40" t="s">
        <v>257</v>
      </c>
      <c r="I2" s="40" t="s">
        <v>258</v>
      </c>
      <c r="J2" s="27" t="s">
        <v>259</v>
      </c>
      <c r="K2" s="27" t="s">
        <v>260</v>
      </c>
      <c r="L2" s="27" t="s">
        <v>261</v>
      </c>
      <c r="M2" s="27" t="s">
        <v>262</v>
      </c>
      <c r="N2" s="27" t="s">
        <v>263</v>
      </c>
      <c r="O2" s="27" t="s">
        <v>264</v>
      </c>
      <c r="P2" s="28" t="s">
        <v>265</v>
      </c>
      <c r="Q2" s="28" t="s">
        <v>130</v>
      </c>
      <c r="R2" s="28" t="s">
        <v>266</v>
      </c>
      <c r="Z2" t="s">
        <v>267</v>
      </c>
      <c r="AA2" t="s">
        <v>268</v>
      </c>
      <c r="AB2" t="s">
        <v>269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270</v>
      </c>
      <c r="AA3" t="s">
        <v>271</v>
      </c>
      <c r="AB3" t="s">
        <v>272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273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274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267</v>
      </c>
      <c r="AA8" t="s">
        <v>268</v>
      </c>
      <c r="AB8" t="s">
        <v>269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270</v>
      </c>
      <c r="AA9" t="s">
        <v>271</v>
      </c>
      <c r="AB9" t="s">
        <v>272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273</v>
      </c>
      <c r="AA10" t="s">
        <v>271</v>
      </c>
      <c r="AB10" t="s">
        <v>269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274</v>
      </c>
      <c r="AA11" t="s">
        <v>271</v>
      </c>
      <c r="AB11" t="s">
        <v>269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204</v>
      </c>
      <c r="B2" s="12" t="s">
        <v>251</v>
      </c>
      <c r="C2" s="12" t="s">
        <v>252</v>
      </c>
      <c r="D2" s="12" t="s">
        <v>253</v>
      </c>
      <c r="E2" s="12" t="s">
        <v>254</v>
      </c>
      <c r="F2" s="12" t="s">
        <v>255</v>
      </c>
      <c r="G2" s="40" t="s">
        <v>275</v>
      </c>
      <c r="H2" s="40" t="s">
        <v>276</v>
      </c>
      <c r="I2" s="40" t="s">
        <v>258</v>
      </c>
      <c r="J2" s="27" t="s">
        <v>277</v>
      </c>
      <c r="K2" s="27" t="s">
        <v>278</v>
      </c>
      <c r="L2" s="41" t="s">
        <v>279</v>
      </c>
      <c r="M2" s="41" t="s">
        <v>280</v>
      </c>
      <c r="N2" s="28" t="s">
        <v>130</v>
      </c>
      <c r="O2" s="28" t="s">
        <v>281</v>
      </c>
      <c r="P2" s="28" t="s">
        <v>266</v>
      </c>
      <c r="Q2" s="28" t="s">
        <v>282</v>
      </c>
      <c r="Z2" t="s">
        <v>232</v>
      </c>
      <c r="AA2" t="s">
        <v>269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236</v>
      </c>
      <c r="AA3" t="s">
        <v>272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204</v>
      </c>
      <c r="B2" s="12" t="s">
        <v>251</v>
      </c>
      <c r="C2" s="12" t="s">
        <v>178</v>
      </c>
      <c r="D2" s="12" t="s">
        <v>179</v>
      </c>
      <c r="E2" s="12" t="s">
        <v>283</v>
      </c>
      <c r="F2" s="12" t="s">
        <v>284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285</v>
      </c>
      <c r="C2" s="65"/>
      <c r="E2" s="59" t="s">
        <v>286</v>
      </c>
      <c r="F2" s="54"/>
      <c r="H2" s="59" t="s">
        <v>287</v>
      </c>
      <c r="I2" s="54"/>
      <c r="K2" s="59" t="s">
        <v>288</v>
      </c>
      <c r="L2" s="54"/>
      <c r="N2" s="59" t="s">
        <v>289</v>
      </c>
      <c r="O2" s="54"/>
      <c r="Q2" s="59" t="s">
        <v>290</v>
      </c>
      <c r="R2" s="54"/>
    </row>
    <row r="3" spans="2:21" x14ac:dyDescent="0.2">
      <c r="B3" s="66"/>
      <c r="C3" s="67"/>
      <c r="E3" s="32" t="s">
        <v>291</v>
      </c>
      <c r="F3" s="33"/>
      <c r="H3" s="32" t="s">
        <v>291</v>
      </c>
      <c r="I3" s="33"/>
      <c r="K3" s="32" t="s">
        <v>291</v>
      </c>
      <c r="L3" s="33"/>
      <c r="N3" s="32" t="s">
        <v>291</v>
      </c>
      <c r="O3" s="33"/>
      <c r="Q3" s="32" t="s">
        <v>291</v>
      </c>
      <c r="R3" s="33"/>
      <c r="T3" s="6" t="s">
        <v>292</v>
      </c>
    </row>
    <row r="4" spans="2:21" x14ac:dyDescent="0.2">
      <c r="B4" s="25" t="s">
        <v>178</v>
      </c>
      <c r="C4" s="25" t="s">
        <v>179</v>
      </c>
      <c r="E4" s="25" t="s">
        <v>178</v>
      </c>
      <c r="F4" s="25" t="s">
        <v>179</v>
      </c>
      <c r="H4" s="25" t="s">
        <v>178</v>
      </c>
      <c r="I4" s="25" t="s">
        <v>179</v>
      </c>
      <c r="K4" s="25" t="s">
        <v>178</v>
      </c>
      <c r="L4" s="25" t="s">
        <v>179</v>
      </c>
      <c r="N4" s="25" t="s">
        <v>178</v>
      </c>
      <c r="O4" s="25" t="s">
        <v>179</v>
      </c>
      <c r="Q4" s="25" t="s">
        <v>178</v>
      </c>
      <c r="R4" s="25" t="s">
        <v>179</v>
      </c>
      <c r="T4" s="1" t="s">
        <v>291</v>
      </c>
      <c r="U4" t="s">
        <v>293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294</v>
      </c>
      <c r="U5" t="s">
        <v>295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296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297</v>
      </c>
      <c r="C2" s="65"/>
      <c r="E2" s="60" t="s">
        <v>298</v>
      </c>
      <c r="F2" s="54"/>
      <c r="H2" s="60" t="s">
        <v>299</v>
      </c>
      <c r="I2" s="54"/>
      <c r="K2" s="60" t="s">
        <v>300</v>
      </c>
      <c r="L2" s="54"/>
      <c r="N2" s="60" t="s">
        <v>301</v>
      </c>
      <c r="O2" s="54"/>
      <c r="Q2" s="60" t="s">
        <v>302</v>
      </c>
      <c r="R2" s="54"/>
    </row>
    <row r="3" spans="2:21" x14ac:dyDescent="0.2">
      <c r="B3" s="66"/>
      <c r="C3" s="67"/>
      <c r="E3" s="34" t="s">
        <v>291</v>
      </c>
      <c r="F3" s="35"/>
      <c r="H3" s="34" t="s">
        <v>291</v>
      </c>
      <c r="I3" s="35"/>
      <c r="K3" s="34" t="s">
        <v>291</v>
      </c>
      <c r="L3" s="35"/>
      <c r="N3" s="34" t="s">
        <v>291</v>
      </c>
      <c r="O3" s="35"/>
      <c r="Q3" s="34" t="s">
        <v>291</v>
      </c>
      <c r="R3" s="35"/>
      <c r="T3" s="6" t="s">
        <v>292</v>
      </c>
    </row>
    <row r="4" spans="2:21" x14ac:dyDescent="0.2">
      <c r="B4" s="25" t="s">
        <v>178</v>
      </c>
      <c r="C4" s="25" t="s">
        <v>179</v>
      </c>
      <c r="E4" s="25" t="s">
        <v>178</v>
      </c>
      <c r="F4" s="25" t="s">
        <v>179</v>
      </c>
      <c r="H4" s="25" t="s">
        <v>178</v>
      </c>
      <c r="I4" s="25" t="s">
        <v>179</v>
      </c>
      <c r="K4" s="25" t="s">
        <v>178</v>
      </c>
      <c r="L4" s="25" t="s">
        <v>179</v>
      </c>
      <c r="N4" s="25" t="s">
        <v>178</v>
      </c>
      <c r="O4" s="25" t="s">
        <v>179</v>
      </c>
      <c r="Q4" s="25" t="s">
        <v>178</v>
      </c>
      <c r="R4" s="25" t="s">
        <v>179</v>
      </c>
      <c r="T4" s="1" t="s">
        <v>291</v>
      </c>
      <c r="U4" t="s">
        <v>293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294</v>
      </c>
      <c r="U5" t="s">
        <v>295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2026-07-27T17:55:02Z</dcterms:modified>
</cp:coreProperties>
</file>