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<sst xmlns="http://schemas.openxmlformats.org/spreadsheetml/2006/main" count="624" uniqueCount="329">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</sst>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saturated clay</t>
        </is>
      </c>
      <c r="C11" s="3">
        <v>98.0</v>
      </c>
      <c r="D11" s="3"/>
      <c r="E11" s="3" t="inlineStr">
        <is>
          <t>mc</t>
        </is>
      </c>
      <c r="F11" s="3">
        <v>350.0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167100.0</v>
      </c>
      <c r="N11" s="3">
        <v>0.45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15.0</v>
      </c>
      <c r="B9" s="3">
        <v>10.0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25.0</v>
      </c>
      <c r="B10" s="3">
        <v>30.0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57.0</v>
      </c>
      <c r="B11" s="3">
        <v>30.0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15.446</v>
      </c>
      <c r="C3" s="3">
        <v>37.624</v>
      </c>
      <c r="D3" s="3" t="inlineStr">
        <is>
          <t>Depth</t>
        </is>
      </c>
      <c r="E3" s="3">
        <v>10.03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Tieback</t>
        </is>
      </c>
      <c r="C3" s="3">
        <v>20.0</v>
      </c>
      <c r="D3" s="3">
        <v>20.0</v>
      </c>
      <c r="E3" s="3">
        <v>57.0</v>
      </c>
      <c r="F3" s="3">
        <v>20.0</v>
      </c>
      <c r="G3" s="3" t="inlineStr">
        <is>
          <t>Anchor</t>
        </is>
      </c>
      <c r="H3" s="3" t="str">
        <f>IF($G3="","",IFERROR(VLOOKUP($G3,$AH$8:$AJ$11,2,0),""))</f>
        <v>Axial</v>
      </c>
      <c r="I3" s="3" t="str">
        <f t="shared" ref="I3:I32" si="1">IF($G3="","",IFERROR(VLOOKUP($G3,$AH$8:$AJ$11,3,0),""))</f>
        <v>Active</v>
      </c>
      <c r="J3" s="3">
        <v>9000.0</v>
      </c>
      <c r="K3" s="3">
        <v>0.0</v>
      </c>
      <c r="L3" s="3">
        <v>0.0</v>
      </c>
      <c r="M3" s="3"/>
      <c r="N3" s="3"/>
      <c r="O3" s="3">
        <v>0.0</v>
      </c>
      <c r="P3" s="3">
        <v>0.0</v>
      </c>
      <c r="Q3" s="3">
        <v>1.0</v>
      </c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>IF($G4="","",IFERROR(VLOOKUP($G4,$AH$8:$AJ$11,2,0),""))</f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>IF($G5="","",IFERROR(VLOOKUP($G5,$AH$8:$AJ$11,2,0),""))</f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>IF($G6="","",IFERROR(VLOOKUP($G6,$AH$8:$AJ$11,2,0),""))</f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>IF($G7="","",IFERROR(VLOOKUP($G7,$AH$8:$AJ$11,2,0),""))</f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>IF($G8="","",IFERROR(VLOOKUP($G8,$AH$8:$AJ$11,2,0),""))</f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IF($G9="","",IFERROR(VLOOKUP($G9,$AH$8:$AJ$11,2,0),""))</f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