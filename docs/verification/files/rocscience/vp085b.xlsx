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<sst xmlns="http://schemas.openxmlformats.org/spreadsheetml/2006/main" count="624" uniqueCount="329">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</sst>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Imperial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62.4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saturated clay</t>
        </is>
      </c>
      <c r="C11" s="3">
        <v>98.0</v>
      </c>
      <c r="D11" s="3"/>
      <c r="E11" s="3" t="inlineStr">
        <is>
          <t>mc</t>
        </is>
      </c>
      <c r="F11" s="3">
        <v>350.0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>
        <v>167100.0</v>
      </c>
      <c r="N11" s="3">
        <v>0.45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>
        <v>0.5</v>
      </c>
      <c r="AP11" s="3"/>
      <c r="AQ11" s="3"/>
    </row>
    <row r="12" spans="1:43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  <c r="AQ12" s="19"/>
    </row>
    <row r="13" spans="1:43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10.0</v>
      </c>
      <c r="D2" s="24" t="s">
        <v>146</v>
      </c>
      <c r="N2" s="24" t="s">
        <v>147</v>
      </c>
    </row>
    <row r="4" spans="1:44" x14ac:dyDescent="0.2">
      <c r="A4" s="55" t="inlineStr">
        <is>
          <t>Profile Line #1</t>
        </is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>
        <v>15.0</v>
      </c>
      <c r="B9" s="3">
        <v>10.0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25.0</v>
      </c>
      <c r="B10" s="3">
        <v>30.0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57.0</v>
      </c>
      <c r="B11" s="3">
        <v>30.0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B5" activeCellId="1" sqref="AR5 B5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s">
        <v>169</v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s">
        <v>185</v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>
        <v>17.169</v>
      </c>
      <c r="C3" s="3">
        <v>34.48</v>
      </c>
      <c r="D3" s="3" t="inlineStr">
        <is>
          <t>Depth</t>
        </is>
      </c>
      <c r="E3" s="3">
        <v>10.015</v>
      </c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 t="inlineStr">
        <is>
          <t>Tieback</t>
        </is>
      </c>
      <c r="C3" s="3">
        <v>20.0</v>
      </c>
      <c r="D3" s="3">
        <v>20.0</v>
      </c>
      <c r="E3" s="3">
        <v>57.0</v>
      </c>
      <c r="F3" s="3">
        <v>20.0</v>
      </c>
      <c r="G3" s="3" t="inlineStr">
        <is>
          <t>Anchor</t>
        </is>
      </c>
      <c r="H3" s="3" t="str">
        <f>IF($G3="","",IFERROR(VLOOKUP($G3,$AH$8:$AJ$11,2,0),""))</f>
        <v>Axial</v>
      </c>
      <c r="I3" s="3" t="inlineStr">
        <is>
          <t>Passive</t>
        </is>
      </c>
      <c r="J3" s="3">
        <v>9000.0</v>
      </c>
      <c r="K3" s="3">
        <v>0.0</v>
      </c>
      <c r="L3" s="3">
        <v>0.0</v>
      </c>
      <c r="M3" s="3"/>
      <c r="N3" s="3"/>
      <c r="O3" s="3">
        <v>0.0</v>
      </c>
      <c r="P3" s="3">
        <v>0.0</v>
      </c>
      <c r="Q3" s="3">
        <v>1.0</v>
      </c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>IF($G4="","",IFERROR(VLOOKUP($G4,$AH$8:$AJ$11,2,0),""))</f>
        <v/>
      </c>
      <c r="I4" s="3" t="str">
        <f>IF($G4="","",IFERROR(VLOOKUP($G4,$AH$8:$AJ$11,3,0),""))</f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>IF($G5="","",IFERROR(VLOOKUP($G5,$AH$8:$AJ$11,2,0),""))</f>
        <v/>
      </c>
      <c r="I5" s="3" t="str">
        <f>IF($G5="","",IFERROR(VLOOKUP($G5,$AH$8:$AJ$11,3,0),""))</f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>IF($G6="","",IFERROR(VLOOKUP($G6,$AH$8:$AJ$11,2,0),""))</f>
        <v/>
      </c>
      <c r="I6" s="3" t="str">
        <f>IF($G6="","",IFERROR(VLOOKUP($G6,$AH$8:$AJ$11,3,0),""))</f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>IF($G7="","",IFERROR(VLOOKUP($G7,$AH$8:$AJ$11,2,0),""))</f>
        <v/>
      </c>
      <c r="I7" s="3" t="str">
        <f>IF($G7="","",IFERROR(VLOOKUP($G7,$AH$8:$AJ$11,3,0),""))</f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>IF($G8="","",IFERROR(VLOOKUP($G8,$AH$8:$AJ$11,2,0),""))</f>
        <v/>
      </c>
      <c r="I8" s="3" t="str">
        <f>IF($G8="","",IFERROR(VLOOKUP($G8,$AH$8:$AJ$11,3,0),""))</f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>IF($G9="","",IFERROR(VLOOKUP($G9,$AH$8:$AJ$11,2,0),""))</f>
        <v/>
      </c>
      <c r="I9" s="3" t="str">
        <f>IF($G9="","",IFERROR(VLOOKUP($G9,$AH$8:$AJ$11,3,0),""))</f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>IF($G10="","",IFERROR(VLOOKUP($G10,$AH$8:$AJ$11,2,0),""))</f>
        <v/>
      </c>
      <c r="I10" s="3" t="str">
        <f>IF($G10="","",IFERROR(VLOOKUP($G10,$AH$8:$AJ$11,3,0),""))</f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>IF($G11="","",IFERROR(VLOOKUP($G11,$AH$8:$AJ$11,2,0),""))</f>
        <v/>
      </c>
      <c r="I11" s="3" t="str">
        <f>IF($G11="","",IFERROR(VLOOKUP($G11,$AH$8:$AJ$11,3,0),""))</f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>IF($G12="","",IFERROR(VLOOKUP($G12,$AH$8:$AJ$11,2,0),""))</f>
        <v/>
      </c>
      <c r="I12" s="3" t="str">
        <f>IF($G12="","",IFERROR(VLOOKUP($G12,$AH$8:$AJ$11,3,0),""))</f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>IF($G13="","",IFERROR(VLOOKUP($G13,$AH$8:$AJ$11,2,0),""))</f>
        <v/>
      </c>
      <c r="I13" s="3" t="str">
        <f>IF($G13="","",IFERROR(VLOOKUP($G13,$AH$8:$AJ$11,3,0),""))</f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>IF($G14="","",IFERROR(VLOOKUP($G14,$AH$8:$AJ$11,2,0),""))</f>
        <v/>
      </c>
      <c r="I14" s="3" t="str">
        <f>IF($G14="","",IFERROR(VLOOKUP($G14,$AH$8:$AJ$11,3,0),""))</f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>IF($G15="","",IFERROR(VLOOKUP($G15,$AH$8:$AJ$11,2,0),""))</f>
        <v/>
      </c>
      <c r="I15" s="3" t="str">
        <f>IF($G15="","",IFERROR(VLOOKUP($G15,$AH$8:$AJ$11,3,0),""))</f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>IF($G16="","",IFERROR(VLOOKUP($G16,$AH$8:$AJ$11,2,0),""))</f>
        <v/>
      </c>
      <c r="I16" s="3" t="str">
        <f>IF($G16="","",IFERROR(VLOOKUP($G16,$AH$8:$AJ$11,3,0),""))</f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>IF($G17="","",IFERROR(VLOOKUP($G17,$AH$8:$AJ$11,2,0),""))</f>
        <v/>
      </c>
      <c r="I17" s="3" t="str">
        <f>IF($G17="","",IFERROR(VLOOKUP($G17,$AH$8:$AJ$11,3,0),""))</f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>IF($G18="","",IFERROR(VLOOKUP($G18,$AH$8:$AJ$11,2,0),""))</f>
        <v/>
      </c>
      <c r="I18" s="3" t="str">
        <f>IF($G18="","",IFERROR(VLOOKUP($G18,$AH$8:$AJ$11,3,0),""))</f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>IF($G19="","",IFERROR(VLOOKUP($G19,$AH$8:$AJ$11,2,0),""))</f>
        <v/>
      </c>
      <c r="I19" s="3" t="str">
        <f>IF($G19="","",IFERROR(VLOOKUP($G19,$AH$8:$AJ$11,3,0),""))</f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>IF($G20="","",IFERROR(VLOOKUP($G20,$AH$8:$AJ$11,2,0),""))</f>
        <v/>
      </c>
      <c r="I20" s="3" t="str">
        <f>IF($G20="","",IFERROR(VLOOKUP($G20,$AH$8:$AJ$11,3,0),""))</f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>IF($G21="","",IFERROR(VLOOKUP($G21,$AH$8:$AJ$11,2,0),""))</f>
        <v/>
      </c>
      <c r="I21" s="3" t="str">
        <f>IF($G21="","",IFERROR(VLOOKUP($G21,$AH$8:$AJ$11,3,0),""))</f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>IF($G22="","",IFERROR(VLOOKUP($G22,$AH$8:$AJ$11,2,0),""))</f>
        <v/>
      </c>
      <c r="I22" s="3" t="str">
        <f>IF($G22="","",IFERROR(VLOOKUP($G22,$AH$8:$AJ$11,3,0),""))</f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>IF($G23="","",IFERROR(VLOOKUP($G23,$AH$8:$AJ$11,2,0),""))</f>
        <v/>
      </c>
      <c r="I23" s="3" t="str">
        <f>IF($G23="","",IFERROR(VLOOKUP($G23,$AH$8:$AJ$11,3,0),""))</f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>IF($G24="","",IFERROR(VLOOKUP($G24,$AH$8:$AJ$11,2,0),""))</f>
        <v/>
      </c>
      <c r="I24" s="3" t="str">
        <f>IF($G24="","",IFERROR(VLOOKUP($G24,$AH$8:$AJ$11,3,0),""))</f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>IF($G25="","",IFERROR(VLOOKUP($G25,$AH$8:$AJ$11,2,0),""))</f>
        <v/>
      </c>
      <c r="I25" s="3" t="str">
        <f>IF($G25="","",IFERROR(VLOOKUP($G25,$AH$8:$AJ$11,3,0),""))</f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>IF($G26="","",IFERROR(VLOOKUP($G26,$AH$8:$AJ$11,2,0),""))</f>
        <v/>
      </c>
      <c r="I26" s="3" t="str">
        <f>IF($G26="","",IFERROR(VLOOKUP($G26,$AH$8:$AJ$11,3,0),""))</f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>IF($G27="","",IFERROR(VLOOKUP($G27,$AH$8:$AJ$11,2,0),""))</f>
        <v/>
      </c>
      <c r="I27" s="3" t="str">
        <f>IF($G27="","",IFERROR(VLOOKUP($G27,$AH$8:$AJ$11,3,0),""))</f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>IF($G28="","",IFERROR(VLOOKUP($G28,$AH$8:$AJ$11,2,0),""))</f>
        <v/>
      </c>
      <c r="I28" s="3" t="str">
        <f>IF($G28="","",IFERROR(VLOOKUP($G28,$AH$8:$AJ$11,3,0),""))</f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>IF($G29="","",IFERROR(VLOOKUP($G29,$AH$8:$AJ$11,2,0),""))</f>
        <v/>
      </c>
      <c r="I29" s="3" t="str">
        <f>IF($G29="","",IFERROR(VLOOKUP($G29,$AH$8:$AJ$11,3,0),""))</f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>IF($G30="","",IFERROR(VLOOKUP($G30,$AH$8:$AJ$11,2,0),""))</f>
        <v/>
      </c>
      <c r="I30" s="3" t="str">
        <f>IF($G30="","",IFERROR(VLOOKUP($G30,$AH$8:$AJ$11,3,0),""))</f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>IF($G31="","",IFERROR(VLOOKUP($G31,$AH$8:$AJ$11,2,0),""))</f>
        <v/>
      </c>
      <c r="I31" s="3" t="str">
        <f>IF($G31="","",IFERROR(VLOOKUP($G31,$AH$8:$AJ$11,3,0),""))</f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>IF($G32="","",IFERROR(VLOOKUP($G32,$AH$8:$AJ$11,2,0),""))</f>
        <v/>
      </c>
      <c r="I32" s="3" t="str">
        <f>IF($G32="","",IFERROR(VLOOKUP($G32,$AH$8:$AJ$11,3,0),""))</f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Q17" sqref="Q17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