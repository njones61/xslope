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<sst xmlns="http://schemas.openxmlformats.org/spreadsheetml/2006/main" count="480" uniqueCount="266">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</sst>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Imperial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62.4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saturated clay</t>
        </is>
      </c>
      <c r="C11" s="3">
        <v>98.0</v>
      </c>
      <c r="D11" s="3"/>
      <c r="E11" s="3" t="inlineStr">
        <is>
          <t>mc</t>
        </is>
      </c>
      <c r="F11" s="3">
        <v>350.0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167100.0</v>
      </c>
      <c r="N11" s="3">
        <v>0.45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10.0</v>
      </c>
      <c r="D2" s="24" t="s">
        <v>92</v>
      </c>
    </row>
    <row r="4" spans="1:44" x14ac:dyDescent="0.2">
      <c r="A4" s="55" t="inlineStr">
        <is>
          <t>Profile Line #1</t>
        </is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15.0</v>
      </c>
      <c r="B8" s="3">
        <v>10.0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25.0</v>
      </c>
      <c r="B9" s="3">
        <v>30.0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57.0</v>
      </c>
      <c r="B10" s="3">
        <v>30.0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s">
        <v>137</v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17.169</v>
      </c>
      <c r="C3" s="3">
        <v>34.48</v>
      </c>
      <c r="D3" s="3" t="inlineStr">
        <is>
          <t>Depth</t>
        </is>
      </c>
      <c r="E3" s="3">
        <v>10.015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 t="inlineStr">
        <is>
          <t>Tieback</t>
        </is>
      </c>
      <c r="C3" s="3">
        <v>20.0</v>
      </c>
      <c r="D3" s="3">
        <v>20.0</v>
      </c>
      <c r="E3" s="3">
        <v>57.0</v>
      </c>
      <c r="F3" s="3">
        <v>20.0</v>
      </c>
      <c r="G3" s="3" t="inlineStr">
        <is>
          <t>Anchor</t>
        </is>
      </c>
      <c r="H3" s="3" t="str">
        <f t="shared" ref="H3:H22" si="0">IF($G3="","",IFERROR(VLOOKUP($G3,$Z$8:$AB$11,2,0),""))</f>
        <v/>
      </c>
      <c r="I3" s="3" t="inlineStr">
        <is>
          <t>Passive</t>
        </is>
      </c>
      <c r="J3" s="3">
        <v>9000.0</v>
      </c>
      <c r="K3" s="3">
        <v>0.0</v>
      </c>
      <c r="L3" s="3">
        <v>0.0</v>
      </c>
      <c r="M3" s="3">
        <v>0.0</v>
      </c>
      <c r="N3" s="3">
        <v>0.0</v>
      </c>
      <c r="O3" s="3">
        <v>1.0</v>
      </c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