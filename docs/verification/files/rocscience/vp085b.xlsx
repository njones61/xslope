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saturated clay</t>
        </is>
      </c>
      <c r="C11" s="3">
        <v>98.0</v>
      </c>
      <c r="D11" s="3" t="n"/>
      <c r="E11" s="3" t="inlineStr">
        <is>
          <t>mc</t>
        </is>
      </c>
      <c r="F11" s="3">
        <v>350.0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15.0</v>
      </c>
      <c r="B9" s="3">
        <v>10.0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25.0</v>
      </c>
      <c r="B10" s="3">
        <v>30.0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57.0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17.169</v>
      </c>
      <c r="C3" s="3">
        <v>34.48</v>
      </c>
      <c r="D3" s="3" t="inlineStr">
        <is>
          <t>Depth</t>
        </is>
      </c>
      <c r="E3" s="3">
        <v>10.015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>
        <f>IF($G3="","",IFERROR(VLOOKUP($G3,$Z$8:$AB$11,2,0),""))</f>
        <v/>
      </c>
      <c r="I3" s="3" t="inlineStr">
        <is>
          <t>Passive</t>
        </is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