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904BD95E-2C21-0841-A7DF-ECBA420EAAD7}" xr6:coauthVersionLast="47" xr6:coauthVersionMax="47" xr10:uidLastSave="{00000000-0000-0000-0000-000000000000}"/>
  <bookViews>
    <workbookView xWindow="27680" yWindow="3200" windowWidth="3160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<sst xmlns="http://schemas.openxmlformats.org/spreadsheetml/2006/main" count="606" uniqueCount="323">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</sst>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217714</xdr:colOff>
      <xdr:row>1</xdr:row>
      <xdr:rowOff>54430</xdr:rowOff>
    </xdr:from>
    <xdr:to>
      <xdr:col>29</xdr:col>
      <xdr:colOff>444500</xdr:colOff>
      <xdr:row>25</xdr:row>
      <xdr:rowOff>18143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757571" y="254001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-11.368</v>
      </c>
      <c r="C3" s="3">
        <v>42.221</v>
      </c>
      <c r="D3" s="3" t="inlineStr">
        <is>
          <t>Depth</t>
        </is>
      </c>
      <c r="E3" s="3">
        <v>2.198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H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4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AF2" t="s">
        <v>257</v>
      </c>
      <c r="AG2" t="s">
        <v>258</v>
      </c>
      <c r="AH2" t="s">
        <v>259</v>
      </c>
    </row>
    <row r="3" spans="1:34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22.0</v>
      </c>
      <c r="K3" s="3">
        <v>0.606727781</v>
      </c>
      <c r="L3" s="3">
        <v>0.1882948286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63000.0</v>
      </c>
      <c r="T3" s="3">
        <v>0.1</v>
      </c>
      <c r="U3" s="3"/>
      <c r="V3" s="3"/>
      <c r="W3" s="3"/>
      <c r="X3" s="3"/>
      <c r="AF3" t="s">
        <v>260</v>
      </c>
      <c r="AG3" t="s">
        <v>261</v>
      </c>
      <c r="AH3" t="s">
        <v>262</v>
      </c>
    </row>
    <row r="4" spans="1:34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22.0</v>
      </c>
      <c r="K4" s="3">
        <v>0.7800785756</v>
      </c>
      <c r="L4" s="3">
        <v>0.2022425937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63000.0</v>
      </c>
      <c r="T4" s="3">
        <v>0.1</v>
      </c>
      <c r="U4" s="3"/>
      <c r="V4" s="3"/>
      <c r="W4" s="3"/>
      <c r="X4" s="3"/>
      <c r="AF4" t="s">
        <v>263</v>
      </c>
    </row>
    <row r="5" spans="1:34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22.0</v>
      </c>
      <c r="K5" s="3">
        <v>1.0921100058</v>
      </c>
      <c r="L5" s="3">
        <v>0.2184220012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63000.0</v>
      </c>
      <c r="T5" s="3">
        <v>0.1</v>
      </c>
      <c r="U5" s="3"/>
      <c r="V5" s="3"/>
      <c r="W5" s="3"/>
      <c r="X5" s="3"/>
      <c r="AF5" t="s">
        <v>264</v>
      </c>
    </row>
    <row r="6" spans="1:34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22.0</v>
      </c>
      <c r="K6" s="3">
        <v>1.820183343</v>
      </c>
      <c r="L6" s="3">
        <v>0.2374152187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63000.0</v>
      </c>
      <c r="T6" s="3">
        <v>0.1</v>
      </c>
      <c r="U6" s="3"/>
      <c r="V6" s="3"/>
      <c r="W6" s="3"/>
      <c r="X6" s="3"/>
    </row>
    <row r="7" spans="1:34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22.0</v>
      </c>
      <c r="K7" s="3">
        <v>5.4605500291</v>
      </c>
      <c r="L7" s="3">
        <v>0.2600261919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63000.0</v>
      </c>
      <c r="T7" s="3">
        <v>0.1</v>
      </c>
      <c r="U7" s="3"/>
      <c r="V7" s="3"/>
      <c r="W7" s="3"/>
      <c r="X7" s="3"/>
    </row>
    <row r="8" spans="1:34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22.0</v>
      </c>
      <c r="K8" s="3">
        <v>0.606727781</v>
      </c>
      <c r="L8" s="3">
        <v>0.28739737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63000.0</v>
      </c>
      <c r="T8" s="3">
        <v>0.1</v>
      </c>
      <c r="U8" s="3"/>
      <c r="V8" s="3"/>
      <c r="W8" s="3"/>
      <c r="X8" s="3"/>
      <c r="AF8" t="s">
        <v>257</v>
      </c>
      <c r="AG8" t="s">
        <v>258</v>
      </c>
      <c r="AH8" t="s">
        <v>259</v>
      </c>
    </row>
    <row r="9" spans="1:34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22.0</v>
      </c>
      <c r="K9" s="3">
        <v>0.7800785756</v>
      </c>
      <c r="L9" s="3">
        <v>0.3212088252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63000.0</v>
      </c>
      <c r="T9" s="3">
        <v>0.1</v>
      </c>
      <c r="U9" s="3"/>
      <c r="V9" s="3"/>
      <c r="W9" s="3"/>
      <c r="X9" s="3"/>
      <c r="AF9" t="s">
        <v>260</v>
      </c>
      <c r="AG9" t="s">
        <v>261</v>
      </c>
      <c r="AH9" t="s">
        <v>262</v>
      </c>
    </row>
    <row r="10" spans="1:34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22.0</v>
      </c>
      <c r="K10" s="3">
        <v>1.0921100058</v>
      </c>
      <c r="L10" s="3">
        <v>0.3640366686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63000.0</v>
      </c>
      <c r="T10" s="3">
        <v>0.1</v>
      </c>
      <c r="U10" s="3"/>
      <c r="V10" s="3"/>
      <c r="W10" s="3"/>
      <c r="X10" s="3"/>
      <c r="AF10" t="s">
        <v>263</v>
      </c>
      <c r="AG10" t="s">
        <v>261</v>
      </c>
      <c r="AH10" t="s">
        <v>259</v>
      </c>
    </row>
    <row r="11" spans="1:34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22.0</v>
      </c>
      <c r="K11" s="3">
        <v>1.820183343</v>
      </c>
      <c r="L11" s="3">
        <v>0.4200423099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63000.0</v>
      </c>
      <c r="T11" s="3">
        <v>0.1</v>
      </c>
      <c r="U11" s="3"/>
      <c r="V11" s="3"/>
      <c r="W11" s="3"/>
      <c r="X11" s="3"/>
      <c r="AF11" t="s">
        <v>264</v>
      </c>
      <c r="AG11" t="s">
        <v>261</v>
      </c>
      <c r="AH11" t="s">
        <v>259</v>
      </c>
    </row>
    <row r="12" spans="1:34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22.0</v>
      </c>
      <c r="K12" s="3">
        <v>5.4605500291</v>
      </c>
      <c r="L12" s="3">
        <v>0.496413639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63000.0</v>
      </c>
      <c r="T12" s="3">
        <v>0.1</v>
      </c>
      <c r="U12" s="3"/>
      <c r="V12" s="3"/>
      <c r="W12" s="3"/>
      <c r="X12" s="3"/>
    </row>
    <row r="13" spans="1:34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22.0</v>
      </c>
      <c r="K13" s="3">
        <v>0.606727781</v>
      </c>
      <c r="L13" s="3">
        <v>0.606727781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63000.0</v>
      </c>
      <c r="T13" s="3">
        <v>0.1</v>
      </c>
      <c r="U13" s="3"/>
      <c r="V13" s="3"/>
      <c r="W13" s="3"/>
      <c r="X13" s="3"/>
    </row>
    <row r="14" spans="1:34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22.0</v>
      </c>
      <c r="K14" s="3">
        <v>0.7800785756</v>
      </c>
      <c r="L14" s="3">
        <v>0.7800785756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63000.0</v>
      </c>
      <c r="T14" s="3">
        <v>0.1</v>
      </c>
      <c r="U14" s="3"/>
      <c r="V14" s="3"/>
      <c r="W14" s="3"/>
      <c r="X14" s="3"/>
    </row>
    <row r="15" spans="1:34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22.0</v>
      </c>
      <c r="K15" s="3">
        <v>1.0921100058</v>
      </c>
      <c r="L15" s="3">
        <v>1.0921100058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63000.0</v>
      </c>
      <c r="T15" s="3">
        <v>0.1</v>
      </c>
      <c r="U15" s="3"/>
      <c r="V15" s="3"/>
      <c r="W15" s="3"/>
      <c r="X15" s="3"/>
    </row>
    <row r="16" spans="1:34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22.0</v>
      </c>
      <c r="K16" s="3">
        <v>1.820183343</v>
      </c>
      <c r="L16" s="3">
        <v>1.820183343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63000.0</v>
      </c>
      <c r="T16" s="3">
        <v>0.1</v>
      </c>
      <c r="U16" s="3"/>
      <c r="V16" s="3"/>
      <c r="W16" s="3"/>
      <c r="X16" s="3"/>
    </row>
    <row r="17" spans="1:27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22.0</v>
      </c>
      <c r="K17" s="3">
        <v>5.4605500291</v>
      </c>
      <c r="L17" s="3">
        <v>5.4605500291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63000.0</v>
      </c>
      <c r="T17" s="3">
        <v>0.1</v>
      </c>
      <c r="U17" s="3"/>
      <c r="V17" s="3"/>
      <c r="W17" s="3"/>
      <c r="X17" s="3"/>
    </row>
    <row r="18" spans="1:27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IF($G18="","",IFERROR(VLOOKUP($G18,$AF$8:$AH$11,2,0),""))</f>
        <v/>
      </c>
      <c r="I18" s="3" t="str">
        <f>IF($G18="","",IFERROR(VLOOKUP($G18,$AF$8:$AH$11,3,0),""))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7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IF($G19="","",IFERROR(VLOOKUP($G19,$AF$8:$AH$11,2,0),""))</f>
        <v/>
      </c>
      <c r="I19" s="3" t="str">
        <f>IF($G19="","",IFERROR(VLOOKUP($G19,$AF$8:$AH$11,3,0),""))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7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IF($G20="","",IFERROR(VLOOKUP($G20,$AF$8:$AH$11,2,0),""))</f>
        <v/>
      </c>
      <c r="I20" s="3" t="str">
        <f>IF($G20="","",IFERROR(VLOOKUP($G20,$AF$8:$AH$11,3,0),""))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7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IF($G21="","",IFERROR(VLOOKUP($G21,$AF$8:$AH$11,2,0),""))</f>
        <v/>
      </c>
      <c r="I21" s="3" t="str">
        <f>IF($G21="","",IFERROR(VLOOKUP($G21,$AF$8:$AH$11,3,0),""))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7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IF($G22="","",IFERROR(VLOOKUP($G22,$AF$8:$AH$11,2,0),""))</f>
        <v/>
      </c>
      <c r="I22" s="3" t="str">
        <f>IF($G22="","",IFERROR(VLOOKUP($G22,$AF$8:$AH$11,3,0),""))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4" spans="1:27" x14ac:dyDescent="0.2">
      <c r="K24" s="9"/>
      <c r="L24" s="9"/>
    </row>
    <row r="25" spans="1:27" x14ac:dyDescent="0.2">
      <c r="K25" s="9"/>
      <c r="L25" s="9"/>
    </row>
    <row r="27" spans="1:27" x14ac:dyDescent="0.2">
      <c r="Z27" s="42"/>
      <c r="AA27" t="s">
        <v>91</v>
      </c>
    </row>
    <row r="28" spans="1:27" x14ac:dyDescent="0.2">
      <c r="Z28" s="26"/>
      <c r="AA28" s="9" t="s">
        <v>96</v>
      </c>
    </row>
    <row r="29" spans="1:27" x14ac:dyDescent="0.2">
      <c r="Z29" s="29"/>
      <c r="AA29" s="9" t="s">
        <v>103</v>
      </c>
    </row>
  </sheetData>
  <conditionalFormatting sqref="K3:L22">
    <cfRule type="expression" dxfId="1" priority="1">
      <formula>$U3="Yes"</formula>
    </cfRule>
  </conditionalFormatting>
  <conditionalFormatting sqref="V3:X22">
    <cfRule type="expression" dxfId="0" priority="4">
      <formula>$U3&lt;&gt;"Yes"</formula>
    </cfRule>
  </conditionalFormatting>
  <dataValidations count="4">
    <dataValidation type="list" allowBlank="1" showInputMessage="1" showErrorMessage="1" sqref="G3:G22" xr:uid="{00000000-0002-0000-0900-000000000000}">
      <formula1>$AF$2:$AF$5</formula1>
    </dataValidation>
    <dataValidation type="list" allowBlank="1" showInputMessage="1" showErrorMessage="1" sqref="H3:H22" xr:uid="{00000000-0002-0000-0900-000001000000}">
      <formula1>$AG$2:$AG$3</formula1>
    </dataValidation>
    <dataValidation type="list" allowBlank="1" showInputMessage="1" showErrorMessage="1" sqref="I3:I22" xr:uid="{00000000-0002-0000-0900-000002000000}">
      <formula1>$AH$2:$AH$3</formula1>
    </dataValidation>
    <dataValidation type="list" allowBlank="1" showInputMessage="1" showErrorMessage="1" sqref="U3:U22 X3:X2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2026-09-09T15:07:39Z</dcterms:modified>
</cp:coreProperties>
</file>