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CA8D9778-BA48-644C-980F-473DF9F954B0}" xr6:coauthVersionLast="47" xr6:coauthVersionMax="47" xr10:uidLastSave="{00000000-0000-0000-0000-000000000000}"/>
  <bookViews>
    <workbookView xWindow="0" yWindow="620" windowWidth="34200" windowHeight="19900" xr2:uid="{00000000-000D-0000-FFFF-FFFF00000000}"/>
  </bookViews>
  <sheets>
    <sheet name="main" sheetId="1" r:id="rId1"/>
    <sheet name="plot" sheetId="2" r:id="rId2"/>
    <sheet name="mat" sheetId="3" r:id="rId3"/>
    <sheet name="profile" sheetId="4" r:id="rId4"/>
    <sheet name="polygon" sheetId="5" r:id="rId5"/>
    <sheet name="piezo" sheetId="6" r:id="rId6"/>
    <sheet name="circles" sheetId="7" r:id="rId7"/>
    <sheet name="non-circ" sheetId="8" r:id="rId8"/>
    <sheet name="dloads" sheetId="9" r:id="rId9"/>
    <sheet name="dloads (2)" sheetId="10" r:id="rId10"/>
    <sheet name="reinforce" sheetId="11" r:id="rId11"/>
    <sheet name="piles" sheetId="12" r:id="rId12"/>
    <sheet name="lloads" sheetId="13" r:id="rId13"/>
    <sheet name="seep bc" sheetId="14" r:id="rId14"/>
    <sheet name="seep bc (2)" sheetId="15" r:id="rId15"/>
    <sheet name="tseep" sheetId="16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<sst xmlns="http://schemas.openxmlformats.org/spreadsheetml/2006/main" count="518" uniqueCount="304">
  <si>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</si>
  <si>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</si>
  <si>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</si>
  <si>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</si>
  <si>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</si>
  <si>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</si>
  <si>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</si>
  <si>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</si>
  <si>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</si>
  <si>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</si>
  <si>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save_times</t>
  </si>
  <si>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</si>
  <si>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</si>
  <si>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</si>
  <si>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</si>
  <si>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</si>
  <si>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</si>
  <si>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</si>
  <si>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</si>
  <si>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plot</t>
  </si>
  <si>
    <t>Plot of geometric inputs from other sheets</t>
  </si>
  <si>
    <t>Time:</t>
  </si>
  <si>
    <t>day</t>
  </si>
  <si>
    <t>mat</t>
  </si>
  <si>
    <t>Material properties. One per set per profile line</t>
  </si>
  <si>
    <t xml:space="preserve">Unit weight of water: </t>
  </si>
  <si>
    <t>profile</t>
  </si>
  <si>
    <t>Profile lines describing the slope geometry</t>
  </si>
  <si>
    <t>Tension crack depth:</t>
  </si>
  <si>
    <t>polygon</t>
  </si>
  <si>
    <t>Polygons describing the slope geometry</t>
  </si>
  <si>
    <t>Depth of water in crack:</t>
  </si>
  <si>
    <t>piezo</t>
  </si>
  <si>
    <t>Piezometric line to define pore pressures</t>
  </si>
  <si>
    <t xml:space="preserve">Seismic coefficient (k): </t>
  </si>
  <si>
    <t>circles</t>
  </si>
  <si>
    <t>Starting  circles for critical circle search</t>
  </si>
  <si>
    <t>K0 initial stress (FEM):</t>
  </si>
  <si>
    <t>noncirc</t>
  </si>
  <si>
    <t>Non-circular failure surface</t>
  </si>
  <si>
    <t>Tension SRF (FEM):</t>
  </si>
  <si>
    <t>YES</t>
  </si>
  <si>
    <t>dloads</t>
  </si>
  <si>
    <t>Distributed loads</t>
  </si>
  <si>
    <t>LEM method:</t>
  </si>
  <si>
    <t>dloads (2)</t>
  </si>
  <si>
    <t>Distributed loads for stage 2 of multistage analysis</t>
  </si>
  <si>
    <t>Number of slices:</t>
  </si>
  <si>
    <t>reinforce</t>
  </si>
  <si>
    <t>Reinforcement lines</t>
  </si>
  <si>
    <t>Mesh element type:</t>
  </si>
  <si>
    <t>piles</t>
  </si>
  <si>
    <t>Piles</t>
  </si>
  <si>
    <t>Mesh target size:</t>
  </si>
  <si>
    <t>lloads</t>
  </si>
  <si>
    <t>Line loads</t>
  </si>
  <si>
    <t>SSRM F min:</t>
  </si>
  <si>
    <t>seep bc</t>
  </si>
  <si>
    <t>Seepage boundary conditions</t>
  </si>
  <si>
    <t>SSRM F max:</t>
  </si>
  <si>
    <t>seep bc (2)</t>
  </si>
  <si>
    <t>Seepage boundary conditions for stage 2 of multistage analysis</t>
  </si>
  <si>
    <t>tseep</t>
  </si>
  <si>
    <t>Transient seepage boundary conditions and run options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</si>
  <si>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</si>
  <si>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</si>
  <si>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</si>
  <si>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</si>
  <si>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</si>
  <si>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</si>
  <si>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</si>
  <si>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</si>
  <si>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</si>
  <si>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</si>
  <si>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bishop</t>
  </si>
  <si>
    <t>janbu</t>
  </si>
  <si>
    <t>spencer</t>
  </si>
  <si>
    <t>mprice</t>
  </si>
  <si>
    <t>lowe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</si>
  <si>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</si>
  <si>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</si>
  <si>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</si>
  <si>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</si>
  <si>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</si>
  <si>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</si>
  <si>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</si>
  <si>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</si>
  <si>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</si>
  <si>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</si>
  <si>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</si>
  <si>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</si>
  <si>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</si>
  <si>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</si>
  <si>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</si>
  <si>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</si>
  <si>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</si>
  <si>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</si>
  <si>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</si>
  <si>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</si>
  <si>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</si>
  <si>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</si>
  <si>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</si>
  <si>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</si>
  <si>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</si>
  <si>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</si>
  <si>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</si>
  <si>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</si>
  <si>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</si>
  <si>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</si>
  <si>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</si>
  <si>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</si>
  <si>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</si>
  <si>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</si>
  <si>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</si>
  <si>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</si>
  <si>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</si>
  <si>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</si>
  <si>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</si>
  <si>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</si>
  <si>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</si>
  <si>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</si>
  <si>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</si>
  <si>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</si>
  <si>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</si>
  <si>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</si>
  <si>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</si>
  <si>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</si>
  <si>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</si>
  <si>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</si>
  <si>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</si>
  <si>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</si>
  <si>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</si>
  <si>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</si>
  <si>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</si>
  <si>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</si>
  <si>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</si>
  <si>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</si>
  <si>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</si>
  <si>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</si>
  <si>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</si>
  <si>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</si>
  <si>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</si>
  <si>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</si>
  <si>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</si>
  <si>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</si>
  <si>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</si>
  <si>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</si>
  <si>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</si>
  <si>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</si>
  <si>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</si>
  <si>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</si>
  <si>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</si>
  <si>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</si>
  <si>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</si>
  <si>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</si>
  <si>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</si>
  <si>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</si>
  <si>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</si>
  <si>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</si>
  <si>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</si>
  <si>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</si>
  <si>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</si>
  <si>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</si>
  <si>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</si>
  <si>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</si>
  <si>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</si>
  <si>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</si>
  <si>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</si>
  <si>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</si>
  <si>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</si>
  <si>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</si>
  <si>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</si>
  <si>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</si>
  <si>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</si>
  <si>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</si>
  <si>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</si>
  <si>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</si>
  <si>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x</t>
  </si>
  <si>
    <t>y</t>
  </si>
  <si>
    <t xml:space="preserve">Polygons coordinates can be input in CW or CCW order. 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</si>
  <si>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</si>
  <si>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</si>
  <si>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</si>
  <si>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</si>
  <si>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</si>
  <si>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</si>
  <si>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</si>
  <si>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</si>
  <si>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</si>
  <si>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</si>
  <si>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</si>
  <si>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</si>
  <si>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</si>
  <si>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</si>
  <si>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</si>
  <si>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Piezometric Line 1</t>
  </si>
  <si>
    <t>Piezometric Line 2</t>
  </si>
  <si>
    <t>* piezometric line 2 is only required for rapid drawdown analysis</t>
  </si>
  <si>
    <t>Type: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</si>
  <si>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</si>
  <si>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</si>
  <si>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</si>
  <si>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</si>
  <si>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</si>
  <si>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</si>
  <si>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</si>
  <si>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</si>
  <si>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</si>
  <si>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</si>
  <si>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</si>
  <si>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</si>
  <si>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</si>
  <si>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</si>
  <si>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</si>
  <si>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</si>
  <si>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</si>
  <si>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</si>
  <si>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</si>
  <si>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</si>
  <si>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</si>
  <si>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</si>
  <si>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</si>
  <si>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</si>
  <si>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</si>
  <si>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</si>
  <si>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</si>
  <si>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</si>
  <si>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</si>
  <si>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</si>
  <si>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</si>
  <si>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</si>
  <si>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</si>
  <si>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</si>
  <si>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</si>
  <si>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</si>
  <si>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</si>
  <si>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</si>
  <si>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</si>
  <si>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</si>
  <si>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</si>
  <si>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</si>
  <si>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</si>
  <si>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</si>
  <si>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</si>
  <si>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</si>
  <si>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</si>
  <si>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</si>
  <si>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</si>
  <si>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</si>
  <si>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</si>
  <si>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</si>
  <si>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</si>
  <si>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</si>
  <si>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</si>
  <si>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</si>
  <si>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</si>
  <si>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</si>
  <si>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</si>
  <si>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</si>
  <si>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</si>
  <si>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</si>
  <si>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</si>
  <si>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</si>
  <si>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</si>
  <si>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</si>
  <si>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</si>
  <si>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</si>
  <si>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</si>
  <si>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</si>
  <si>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</si>
  <si>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</si>
  <si>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</si>
  <si>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</si>
  <si>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</si>
  <si>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</si>
  <si>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</si>
  <si>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</si>
  <si>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</si>
  <si>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</si>
  <si>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</si>
  <si>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</si>
  <si>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</si>
  <si>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</si>
  <si>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</si>
  <si>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</si>
  <si>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</si>
  <si>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</si>
  <si>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</si>
  <si>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</si>
  <si>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</si>
  <si>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</si>
  <si>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</si>
  <si>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</si>
  <si>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</si>
  <si>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</si>
  <si>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</si>
  <si>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</si>
  <si>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</si>
  <si>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</si>
  <si>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</si>
  <si>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</si>
  <si>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</si>
  <si>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corps</t>
  </si>
  <si>
    <t>Mat ID = -1 --&gt; SSR reduce, Mat ID = -2 --&gt; SSR hold, Mat ID = -3 --&gt; SSR elastic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</si>
</sst>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63-D947-8C4F-F4CE0564A3E6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63-D947-8C4F-F4CE0564A3E6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63-D947-8C4F-F4CE0564A3E6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63-D947-8C4F-F4CE0564A3E6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63-D947-8C4F-F4CE0564A3E6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63-D947-8C4F-F4CE0564A3E6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163-D947-8C4F-F4CE0564A3E6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63-D947-8C4F-F4CE0564A3E6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163-D947-8C4F-F4CE0564A3E6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163-D947-8C4F-F4CE0564A3E6}"/>
            </c:ext>
          </c:extLst>
        </c:ser>
        <c:ser>
          <c:idx val="10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163-D947-8C4F-F4CE0564A3E6}"/>
            </c:ext>
          </c:extLst>
        </c:ser>
        <c:ser>
          <c:idx val="11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163-D947-8C4F-F4CE0564A3E6}"/>
            </c:ext>
          </c:extLst>
        </c:ser>
        <c:ser>
          <c:idx val="12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163-D947-8C4F-F4CE0564A3E6}"/>
            </c:ext>
          </c:extLst>
        </c:ser>
        <c:ser>
          <c:idx val="13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163-D947-8C4F-F4CE0564A3E6}"/>
            </c:ext>
          </c:extLst>
        </c:ser>
        <c:ser>
          <c:idx val="14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163-D947-8C4F-F4CE0564A3E6}"/>
            </c:ext>
          </c:extLst>
        </c:ser>
        <c:ser>
          <c:idx val="15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  <a:prstDash val="solid"/>
              </a:ln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163-D947-8C4F-F4CE0564A3E6}"/>
            </c:ext>
          </c:extLst>
        </c:ser>
        <c:ser>
          <c:idx val="16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163-D947-8C4F-F4CE0564A3E6}"/>
            </c:ext>
          </c:extLst>
        </c:ser>
        <c:ser>
          <c:idx val="17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163-D947-8C4F-F4CE0564A3E6}"/>
            </c:ext>
          </c:extLst>
        </c:ser>
        <c:ser>
          <c:idx val="18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163-D947-8C4F-F4CE0564A3E6}"/>
            </c:ext>
          </c:extLst>
        </c:ser>
        <c:ser>
          <c:idx val="19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163-D947-8C4F-F4CE0564A3E6}"/>
            </c:ext>
          </c:extLst>
        </c:ser>
        <c:ser>
          <c:idx val="20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8163-D947-8C4F-F4CE0564A3E6}"/>
            </c:ext>
          </c:extLst>
        </c:ser>
        <c:ser>
          <c:idx val="21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163-D947-8C4F-F4CE0564A3E6}"/>
            </c:ext>
          </c:extLst>
        </c:ser>
        <c:ser>
          <c:idx val="22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8163-D947-8C4F-F4CE0564A3E6}"/>
            </c:ext>
          </c:extLst>
        </c:ser>
        <c:ser>
          <c:idx val="23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8163-D947-8C4F-F4CE0564A3E6}"/>
            </c:ext>
          </c:extLst>
        </c:ser>
        <c:ser>
          <c:idx val="24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9-8163-D947-8C4F-F4CE0564A3E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1B-8163-D947-8C4F-F4CE0564A3E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1D-8163-D947-8C4F-F4CE0564A3E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F-8163-D947-8C4F-F4CE0564A3E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21-8163-D947-8C4F-F4CE0564A3E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23-8163-D947-8C4F-F4CE0564A3E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25-8163-D947-8C4F-F4CE0564A3E6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27-8163-D947-8C4F-F4CE0564A3E6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29-8163-D947-8C4F-F4CE0564A3E6}"/>
              </c:ext>
            </c:extLst>
          </c:dPt>
          <c:dPt>
            <c:idx val="9"/>
            <c:marker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8163-D947-8C4F-F4CE0564A3E6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2D-8163-D947-8C4F-F4CE0564A3E6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2F-8163-D947-8C4F-F4CE0564A3E6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1-8163-D947-8C4F-F4CE0564A3E6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33-8163-D947-8C4F-F4CE0564A3E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5-8163-D947-8C4F-F4CE0564A3E6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37-8163-D947-8C4F-F4CE0564A3E6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39-8163-D947-8C4F-F4CE0564A3E6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3B-8163-D947-8C4F-F4CE0564A3E6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3D-8163-D947-8C4F-F4CE0564A3E6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8163-D947-8C4F-F4CE0564A3E6}"/>
            </c:ext>
          </c:extLst>
        </c:ser>
        <c:ser>
          <c:idx val="25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8163-D947-8C4F-F4CE0564A3E6}"/>
            </c:ext>
          </c:extLst>
        </c:ser>
        <c:ser>
          <c:idx val="26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8163-D947-8C4F-F4CE0564A3E6}"/>
            </c:ext>
          </c:extLst>
        </c:ser>
        <c:ser>
          <c:idx val="27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8163-D947-8C4F-F4CE0564A3E6}"/>
            </c:ext>
          </c:extLst>
        </c:ser>
        <c:ser>
          <c:idx val="28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8163-D947-8C4F-F4CE0564A3E6}"/>
            </c:ext>
          </c:extLst>
        </c:ser>
        <c:ser>
          <c:idx val="29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olid"/>
              </a:ln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8163-D947-8C4F-F4CE0564A3E6}"/>
            </c:ext>
          </c:extLst>
        </c:ser>
        <c:ser>
          <c:idx val="3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8163-D947-8C4F-F4CE0564A3E6}"/>
            </c:ext>
          </c:extLst>
        </c:ser>
        <c:ser>
          <c:idx val="3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8163-D947-8C4F-F4CE0564A3E6}"/>
            </c:ext>
          </c:extLst>
        </c:ser>
        <c:ser>
          <c:idx val="3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8163-D947-8C4F-F4CE0564A3E6}"/>
            </c:ext>
          </c:extLst>
        </c:ser>
        <c:ser>
          <c:idx val="3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8163-D947-8C4F-F4CE0564A3E6}"/>
            </c:ext>
          </c:extLst>
        </c:ser>
        <c:ser>
          <c:idx val="3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8163-D947-8C4F-F4CE0564A3E6}"/>
            </c:ext>
          </c:extLst>
        </c:ser>
        <c:ser>
          <c:idx val="3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8163-D947-8C4F-F4CE0564A3E6}"/>
            </c:ext>
          </c:extLst>
        </c:ser>
        <c:ser>
          <c:idx val="3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8163-D947-8C4F-F4CE0564A3E6}"/>
            </c:ext>
          </c:extLst>
        </c:ser>
        <c:ser>
          <c:idx val="3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8163-D947-8C4F-F4CE0564A3E6}"/>
            </c:ext>
          </c:extLst>
        </c:ser>
        <c:ser>
          <c:idx val="3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8163-D947-8C4F-F4CE0564A3E6}"/>
            </c:ext>
          </c:extLst>
        </c:ser>
        <c:ser>
          <c:idx val="3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8163-D947-8C4F-F4CE0564A3E6}"/>
            </c:ext>
          </c:extLst>
        </c:ser>
        <c:ser>
          <c:idx val="4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8163-D947-8C4F-F4CE0564A3E6}"/>
            </c:ext>
          </c:extLst>
        </c:ser>
        <c:ser>
          <c:idx val="4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8163-D947-8C4F-F4CE0564A3E6}"/>
            </c:ext>
          </c:extLst>
        </c:ser>
        <c:ser>
          <c:idx val="42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8163-D947-8C4F-F4CE0564A3E6}"/>
            </c:ext>
          </c:extLst>
        </c:ser>
        <c:ser>
          <c:idx val="43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1-8163-D947-8C4F-F4CE0564A3E6}"/>
            </c:ext>
          </c:extLst>
        </c:ser>
        <c:ser>
          <c:idx val="44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2-8163-D947-8C4F-F4CE0564A3E6}"/>
            </c:ext>
          </c:extLst>
        </c:ser>
        <c:ser>
          <c:idx val="45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3-8163-D947-8C4F-F4CE0564A3E6}"/>
            </c:ext>
          </c:extLst>
        </c:ser>
        <c:ser>
          <c:idx val="46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</a:ln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4-8163-D947-8C4F-F4CE0564A3E6}"/>
            </c:ext>
          </c:extLst>
        </c:ser>
        <c:ser>
          <c:idx val="47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5-8163-D947-8C4F-F4CE0564A3E6}"/>
            </c:ext>
          </c:extLst>
        </c:ser>
        <c:ser>
          <c:idx val="48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6-8163-D947-8C4F-F4CE0564A3E6}"/>
            </c:ext>
          </c:extLst>
        </c:ser>
        <c:ser>
          <c:idx val="49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  <a:prstDash val="solid"/>
              </a:ln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7-8163-D947-8C4F-F4CE0564A3E6}"/>
            </c:ext>
          </c:extLst>
        </c:ser>
        <c:ser>
          <c:idx val="50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  <a:prstDash val="solid"/>
              </a:ln>
            </c:spPr>
          </c:marke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9-8163-D947-8C4F-F4CE0564A3E6}"/>
              </c:ext>
            </c:extLst>
          </c:dPt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B-8163-D947-8C4F-F4CE0564A3E6}"/>
              </c:ext>
            </c:extLst>
          </c:dPt>
          <c:dPt>
            <c:idx val="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D-8163-D947-8C4F-F4CE0564A3E6}"/>
              </c:ext>
            </c:extLst>
          </c:dPt>
          <c:dPt>
            <c:idx val="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5F-8163-D947-8C4F-F4CE0564A3E6}"/>
              </c:ext>
            </c:extLst>
          </c:dPt>
          <c:dPt>
            <c:idx val="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1-8163-D947-8C4F-F4CE0564A3E6}"/>
              </c:ext>
            </c:extLst>
          </c:dPt>
          <c:dPt>
            <c:idx val="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3-8163-D947-8C4F-F4CE0564A3E6}"/>
              </c:ext>
            </c:extLst>
          </c:dPt>
          <c:dPt>
            <c:idx val="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5-8163-D947-8C4F-F4CE0564A3E6}"/>
              </c:ext>
            </c:extLst>
          </c:dPt>
          <c:dPt>
            <c:idx val="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7-8163-D947-8C4F-F4CE0564A3E6}"/>
              </c:ext>
            </c:extLst>
          </c:dPt>
          <c:dPt>
            <c:idx val="8"/>
            <c:marker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  <a:prstDash val="solid"/>
                </a:ln>
              </c:spPr>
            </c:marker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9-8163-D947-8C4F-F4CE0564A3E6}"/>
              </c:ext>
            </c:extLst>
          </c:dPt>
          <c:dPt>
            <c:idx val="9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B-8163-D947-8C4F-F4CE0564A3E6}"/>
              </c:ext>
            </c:extLst>
          </c:dPt>
          <c:dPt>
            <c:idx val="1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D-8163-D947-8C4F-F4CE0564A3E6}"/>
              </c:ext>
            </c:extLst>
          </c:dPt>
          <c:dPt>
            <c:idx val="1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6F-8163-D947-8C4F-F4CE0564A3E6}"/>
              </c:ext>
            </c:extLst>
          </c:dPt>
          <c:dPt>
            <c:idx val="12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1-8163-D947-8C4F-F4CE0564A3E6}"/>
              </c:ext>
            </c:extLst>
          </c:dPt>
          <c:dPt>
            <c:idx val="13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3-8163-D947-8C4F-F4CE0564A3E6}"/>
              </c:ext>
            </c:extLst>
          </c:dPt>
          <c:dPt>
            <c:idx val="14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5-8163-D947-8C4F-F4CE0564A3E6}"/>
              </c:ext>
            </c:extLst>
          </c:dPt>
          <c:dPt>
            <c:idx val="15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7-8163-D947-8C4F-F4CE0564A3E6}"/>
              </c:ext>
            </c:extLst>
          </c:dPt>
          <c:dPt>
            <c:idx val="16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9-8163-D947-8C4F-F4CE0564A3E6}"/>
              </c:ext>
            </c:extLst>
          </c:dPt>
          <c:dPt>
            <c:idx val="17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7B-8163-D947-8C4F-F4CE0564A3E6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C-8163-D947-8C4F-F4CE0564A3E6}"/>
            </c:ext>
          </c:extLst>
        </c:ser>
        <c:ser>
          <c:idx val="51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D-8163-D947-8C4F-F4CE0564A3E6}"/>
            </c:ext>
          </c:extLst>
        </c:ser>
        <c:ser>
          <c:idx val="52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E-8163-D947-8C4F-F4CE0564A3E6}"/>
            </c:ext>
          </c:extLst>
        </c:ser>
        <c:ser>
          <c:idx val="53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F-8163-D947-8C4F-F4CE0564A3E6}"/>
            </c:ext>
          </c:extLst>
        </c:ser>
        <c:ser>
          <c:idx val="54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0-8163-D947-8C4F-F4CE0564A3E6}"/>
            </c:ext>
          </c:extLst>
        </c:ser>
        <c:ser>
          <c:idx val="55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1-8163-D947-8C4F-F4CE0564A3E6}"/>
            </c:ext>
          </c:extLst>
        </c:ser>
        <c:ser>
          <c:idx val="56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2-8163-D947-8C4F-F4CE0564A3E6}"/>
            </c:ext>
          </c:extLst>
        </c:ser>
        <c:ser>
          <c:idx val="57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  <a:prstDash val="solid"/>
              </a:ln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3-8163-D947-8C4F-F4CE0564A3E6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  <a:prstDash val="solid"/>
              </a:ln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4-8163-D947-8C4F-F4CE0564A3E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5-8163-D947-8C4F-F4CE0564A3E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6-8163-D947-8C4F-F4CE0564A3E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7-8163-D947-8C4F-F4CE0564A3E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8-8163-D947-8C4F-F4CE0564A3E6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9-8163-D947-8C4F-F4CE0564A3E6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A-8163-D947-8C4F-F4CE0564A3E6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prstDash val="solid"/>
              </a:ln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B-8163-D947-8C4F-F4CE0564A3E6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C-8163-D947-8C4F-F4CE0564A3E6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D-8163-D947-8C4F-F4CE0564A3E6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E-8163-D947-8C4F-F4CE0564A3E6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8F-8163-D947-8C4F-F4CE0564A3E6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0-8163-D947-8C4F-F4CE0564A3E6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</a:ln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1-8163-D947-8C4F-F4CE0564A3E6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2-8163-D947-8C4F-F4CE0564A3E6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3-8163-D947-8C4F-F4CE0564A3E6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4-8163-D947-8C4F-F4CE0564A3E6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5-8163-D947-8C4F-F4CE0564A3E6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6-8163-D947-8C4F-F4CE0564A3E6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  <a:prstDash val="solid"/>
              </a:ln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7-8163-D947-8C4F-F4CE0564A3E6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8-8163-D947-8C4F-F4CE0564A3E6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9-8163-D947-8C4F-F4CE0564A3E6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A-8163-D947-8C4F-F4CE0564A3E6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B-8163-D947-8C4F-F4CE0564A3E6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C-8163-D947-8C4F-F4CE0564A3E6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</a:ln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9D-8163-D947-8C4F-F4CE0564A3E6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9F-8163-D947-8C4F-F4CE0564A3E6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0-8163-D947-8C4F-F4CE0564A3E6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1-8163-D947-8C4F-F4CE0564A3E6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  <a:prstDash val="solid"/>
              </a:ln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A2-8163-D947-8C4F-F4CE0564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1C-3245-B59D-0E87E53266A9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1C-3245-B59D-0E87E53266A9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1C-3245-B59D-0E87E53266A9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A1C-3245-B59D-0E87E53266A9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A1C-3245-B59D-0E87E532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11</v>
      </c>
    </row>
    <row r="3" spans="1:7" ht="19" customHeight="1" x14ac:dyDescent="0.25">
      <c r="B3" s="8" t="s">
        <v>12</v>
      </c>
    </row>
    <row r="5" spans="1:7" x14ac:dyDescent="0.2">
      <c r="C5" s="14" t="s">
        <v>13</v>
      </c>
      <c r="D5" s="30">
        <v>20</v>
      </c>
    </row>
    <row r="7" spans="1:7" x14ac:dyDescent="0.2">
      <c r="B7" s="51" t="s">
        <v>14</v>
      </c>
      <c r="C7" s="52"/>
      <c r="D7" s="52"/>
      <c r="F7" s="15" t="s">
        <v>15</v>
      </c>
      <c r="G7" s="31" t="s">
        <v>16</v>
      </c>
    </row>
    <row r="8" spans="1:7" x14ac:dyDescent="0.2">
      <c r="C8" s="14" t="s">
        <v>17</v>
      </c>
      <c r="D8" s="1" t="inlineStr">
        <is>
          <t>SI</t>
        </is>
      </c>
      <c r="F8" s="1" t="s">
        <v>19</v>
      </c>
      <c r="G8" t="s">
        <v>20</v>
      </c>
    </row>
    <row r="9" spans="1:7" x14ac:dyDescent="0.2">
      <c r="C9" s="14" t="s">
        <v>21</v>
      </c>
      <c r="D9" s="1"/>
      <c r="F9" s="1" t="s">
        <v>23</v>
      </c>
      <c r="G9" t="s">
        <v>24</v>
      </c>
    </row>
    <row r="10" spans="1:7" x14ac:dyDescent="0.2">
      <c r="C10" s="14" t="s">
        <v>25</v>
      </c>
      <c r="D10" s="1">
        <v>9.81</v>
      </c>
      <c r="F10" s="1" t="s">
        <v>26</v>
      </c>
      <c r="G10" t="s">
        <v>27</v>
      </c>
    </row>
    <row r="11" spans="1:7" x14ac:dyDescent="0.2">
      <c r="B11" s="1"/>
      <c r="C11" s="14" t="s">
        <v>28</v>
      </c>
      <c r="D11" s="1">
        <v>0.0</v>
      </c>
      <c r="F11" s="1" t="s">
        <v>29</v>
      </c>
      <c r="G11" t="s">
        <v>30</v>
      </c>
    </row>
    <row r="12" spans="1:7" x14ac:dyDescent="0.2">
      <c r="C12" s="14" t="s">
        <v>31</v>
      </c>
      <c r="D12" s="1">
        <v>0.0</v>
      </c>
      <c r="F12" s="1" t="s">
        <v>32</v>
      </c>
      <c r="G12" t="s">
        <v>33</v>
      </c>
    </row>
    <row r="13" spans="1:7" x14ac:dyDescent="0.2">
      <c r="C13" s="14" t="s">
        <v>34</v>
      </c>
      <c r="D13" s="1">
        <v>0.0</v>
      </c>
      <c r="F13" s="1" t="s">
        <v>35</v>
      </c>
      <c r="G13" t="s">
        <v>36</v>
      </c>
    </row>
    <row r="14" spans="1:7" x14ac:dyDescent="0.2">
      <c r="C14" s="14" t="s">
        <v>44</v>
      </c>
      <c r="F14" s="1" t="s">
        <v>38</v>
      </c>
      <c r="G14" t="s">
        <v>39</v>
      </c>
      <c r="D14"/>
    </row>
    <row r="15" spans="1:7" x14ac:dyDescent="0.2">
      <c r="C15" s="14" t="s">
        <v>47</v>
      </c>
      <c r="F15" s="1" t="s">
        <v>42</v>
      </c>
      <c r="G15" t="s">
        <v>43</v>
      </c>
      <c r="D15"/>
    </row>
    <row r="16" spans="1:7" x14ac:dyDescent="0.2">
      <c r="C16" s="14" t="s">
        <v>37</v>
      </c>
      <c r="F16" s="1" t="s">
        <v>45</v>
      </c>
      <c r="G16" t="s">
        <v>46</v>
      </c>
      <c r="D16"/>
    </row>
    <row r="17" spans="2:7" x14ac:dyDescent="0.2">
      <c r="B17" s="1"/>
      <c r="C17" s="14" t="s">
        <v>40</v>
      </c>
      <c r="D17" s="1"/>
      <c r="F17" s="1" t="s">
        <v>48</v>
      </c>
      <c r="G17" t="s">
        <v>49</v>
      </c>
    </row>
    <row r="18" spans="2:7" x14ac:dyDescent="0.2">
      <c r="C18" s="14" t="s">
        <v>50</v>
      </c>
      <c r="F18" s="1" t="s">
        <v>51</v>
      </c>
      <c r="G18" t="s">
        <v>52</v>
      </c>
      <c r="D18"/>
    </row>
    <row r="19" spans="2:7" x14ac:dyDescent="0.2">
      <c r="C19" s="14" t="s">
        <v>53</v>
      </c>
      <c r="F19" s="1" t="s">
        <v>54</v>
      </c>
      <c r="G19" t="s">
        <v>55</v>
      </c>
      <c r="D19"/>
    </row>
    <row r="20" spans="2:7" x14ac:dyDescent="0.2">
      <c r="C20" s="14" t="s">
        <v>56</v>
      </c>
      <c r="F20" s="1" t="s">
        <v>57</v>
      </c>
      <c r="G20" s="9" t="s">
        <v>58</v>
      </c>
      <c r="D20"/>
    </row>
    <row r="21" spans="2:7" x14ac:dyDescent="0.2">
      <c r="C21" s="14" t="s">
        <v>59</v>
      </c>
      <c r="F21" s="1" t="s">
        <v>60</v>
      </c>
      <c r="G21" s="9" t="s">
        <v>61</v>
      </c>
      <c r="D21"/>
    </row>
    <row r="22" spans="2:7" x14ac:dyDescent="0.2">
      <c r="F22" s="1" t="s">
        <v>62</v>
      </c>
      <c r="G22" t="s">
        <v>63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64</v>
      </c>
    </row>
    <row r="50" spans="4:4" x14ac:dyDescent="0.2">
      <c r="D50" s="1" t="s">
        <v>65</v>
      </c>
    </row>
    <row r="51" spans="4:4" x14ac:dyDescent="0.2">
      <c r="D51" s="1" t="s">
        <v>18</v>
      </c>
    </row>
    <row r="53" spans="4:4" x14ac:dyDescent="0.2">
      <c r="D53" s="1" t="s">
        <v>66</v>
      </c>
    </row>
    <row r="54" spans="4:4" x14ac:dyDescent="0.2">
      <c r="D54" s="1" t="s">
        <v>67</v>
      </c>
    </row>
    <row r="55" spans="4:4" x14ac:dyDescent="0.2">
      <c r="D55" s="1" t="s">
        <v>68</v>
      </c>
    </row>
    <row r="56" spans="4:4" x14ac:dyDescent="0.2">
      <c r="D56" s="1" t="s">
        <v>69</v>
      </c>
    </row>
    <row r="57" spans="4:4" x14ac:dyDescent="0.2">
      <c r="D57" s="1" t="s">
        <v>22</v>
      </c>
    </row>
    <row r="59" spans="4:4" x14ac:dyDescent="0.2">
      <c r="D59" s="1" t="s">
        <v>70</v>
      </c>
    </row>
    <row r="60" spans="4:4" x14ac:dyDescent="0.2">
      <c r="D60" s="1" t="s">
        <v>41</v>
      </c>
    </row>
    <row r="61" spans="4:4" x14ac:dyDescent="0.2">
      <c r="D61" s="1" t="s">
        <v>71</v>
      </c>
    </row>
    <row r="63" spans="4:4" x14ac:dyDescent="0.2">
      <c r="D63" s="1" t="s">
        <v>72</v>
      </c>
    </row>
    <row r="64" spans="4:4" x14ac:dyDescent="0.2">
      <c r="D64" s="1" t="s">
        <v>73</v>
      </c>
    </row>
    <row r="65" spans="4:4" x14ac:dyDescent="0.2">
      <c r="D65" s="1" t="s">
        <v>75</v>
      </c>
    </row>
    <row r="66" spans="4:4" x14ac:dyDescent="0.2">
      <c r="D66" s="1" t="s">
        <v>74</v>
      </c>
    </row>
    <row r="67" spans="4:4" x14ac:dyDescent="0.2">
      <c r="D67" s="1" t="s">
        <v>302</v>
      </c>
    </row>
    <row r="68" spans="4:4" x14ac:dyDescent="0.2">
      <c r="D68" s="1" t="s">
        <v>78</v>
      </c>
    </row>
    <row r="69" spans="4:4" x14ac:dyDescent="0.2">
      <c r="D69" s="1" t="s">
        <v>76</v>
      </c>
    </row>
    <row r="70" spans="4:4" x14ac:dyDescent="0.2">
      <c r="D70" s="1" t="s">
        <v>77</v>
      </c>
    </row>
    <row r="71" spans="4:4" x14ac:dyDescent="0.2">
      <c r="D71" s="1" t="s">
        <v>79</v>
      </c>
    </row>
    <row r="73" spans="4:4" x14ac:dyDescent="0.2">
      <c r="D73" s="1" t="s">
        <v>80</v>
      </c>
    </row>
    <row r="74" spans="4:4" x14ac:dyDescent="0.2">
      <c r="D74" s="1" t="s">
        <v>81</v>
      </c>
    </row>
    <row r="75" spans="4:4" x14ac:dyDescent="0.2">
      <c r="D75" s="1" t="s">
        <v>82</v>
      </c>
    </row>
    <row r="76" spans="4:4" x14ac:dyDescent="0.2">
      <c r="D76" s="1" t="s">
        <v>83</v>
      </c>
    </row>
    <row r="77" spans="4:4" x14ac:dyDescent="0.2">
      <c r="D77" s="1" t="s">
        <v>84</v>
      </c>
    </row>
    <row r="78" spans="4:4" x14ac:dyDescent="0.2">
      <c r="D78" s="1" t="s">
        <v>85</v>
      </c>
    </row>
  </sheetData>
  <mergeCells count="1">
    <mergeCell ref="B7:D7"/>
  </mergeCells>
  <dataValidations count="5">
    <dataValidation type="list" allowBlank="1" showInputMessage="1" showErrorMessage="1" sqref="D8" xr:uid="{00000000-0002-0000-0000-000000000000}">
      <formula1>$D$50:$D$51</formula1>
    </dataValidation>
    <dataValidation type="list" allowBlank="1" showInputMessage="1" showErrorMessage="1" sqref="D9" xr:uid="{00000000-0002-0000-0000-000001000000}">
      <formula1>$D$54:$D$57</formula1>
    </dataValidation>
    <dataValidation type="list" allowBlank="1" sqref="D17" xr:uid="{00000000-0002-0000-0000-000002000000}">
      <formula1>$D$60:$D$61</formula1>
    </dataValidation>
    <dataValidation type="list" allowBlank="1" sqref="D14" xr:uid="{00000000-0002-0000-0000-000003000000}">
      <formula1>$D$64:$D$71</formula1>
    </dataValidation>
    <dataValidation type="list" allowBlank="1" sqref="D18" xr:uid="{00000000-0002-0000-0000-000004000000}">
      <formula1>$D$74:$D$78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86</v>
      </c>
      <c r="L2" s="6" t="s">
        <v>87</v>
      </c>
      <c r="O2" s="6" t="s">
        <v>88</v>
      </c>
      <c r="AD2" s="6"/>
      <c r="AJ2" s="6" t="s">
        <v>89</v>
      </c>
    </row>
    <row r="3" spans="1:42" x14ac:dyDescent="0.2">
      <c r="C3" s="1" t="s">
        <v>90</v>
      </c>
      <c r="D3" t="s">
        <v>91</v>
      </c>
      <c r="O3" s="1" t="s">
        <v>92</v>
      </c>
      <c r="P3" t="s">
        <v>93</v>
      </c>
      <c r="AD3" s="14"/>
      <c r="AJ3" s="1" t="s">
        <v>94</v>
      </c>
      <c r="AK3" t="s">
        <v>95</v>
      </c>
    </row>
    <row r="4" spans="1:42" x14ac:dyDescent="0.2">
      <c r="C4" s="1" t="s">
        <v>96</v>
      </c>
      <c r="D4" t="s">
        <v>97</v>
      </c>
      <c r="L4" s="42"/>
      <c r="M4" t="s">
        <v>98</v>
      </c>
      <c r="O4" s="1" t="s">
        <v>32</v>
      </c>
      <c r="P4" t="s">
        <v>99</v>
      </c>
      <c r="AD4" s="14"/>
      <c r="AJ4" s="1" t="s">
        <v>100</v>
      </c>
      <c r="AK4" t="s">
        <v>101</v>
      </c>
    </row>
    <row r="5" spans="1:42" x14ac:dyDescent="0.2">
      <c r="C5" s="1" t="s">
        <v>102</v>
      </c>
      <c r="D5" t="s">
        <v>103</v>
      </c>
      <c r="L5" s="26"/>
      <c r="M5" s="9" t="s">
        <v>104</v>
      </c>
      <c r="O5" s="1" t="s">
        <v>105</v>
      </c>
      <c r="P5" s="9" t="s">
        <v>106</v>
      </c>
      <c r="AD5" s="14"/>
      <c r="AJ5" s="1" t="s">
        <v>107</v>
      </c>
      <c r="AK5" s="9" t="s">
        <v>108</v>
      </c>
    </row>
    <row r="6" spans="1:42" x14ac:dyDescent="0.2">
      <c r="C6" s="1" t="s">
        <v>109</v>
      </c>
      <c r="D6" s="9" t="s">
        <v>110</v>
      </c>
      <c r="L6" s="29"/>
      <c r="M6" s="9" t="s">
        <v>111</v>
      </c>
      <c r="O6" s="1" t="s">
        <v>112</v>
      </c>
      <c r="P6" t="s">
        <v>113</v>
      </c>
      <c r="AE6" s="1"/>
      <c r="AF6" s="1"/>
    </row>
    <row r="7" spans="1:42" x14ac:dyDescent="0.2">
      <c r="C7" s="1" t="s">
        <v>114</v>
      </c>
      <c r="D7" s="9" t="s">
        <v>115</v>
      </c>
      <c r="AE7" s="1"/>
      <c r="AF7" s="1"/>
    </row>
    <row r="9" spans="1:42" x14ac:dyDescent="0.2">
      <c r="C9" s="53" t="s">
        <v>116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117</v>
      </c>
      <c r="AB9" s="54"/>
      <c r="AC9" s="54"/>
      <c r="AD9" s="54"/>
      <c r="AE9" s="54"/>
      <c r="AF9" s="54"/>
      <c r="AG9" s="53" t="s">
        <v>118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23</v>
      </c>
      <c r="B10" s="20" t="s">
        <v>119</v>
      </c>
      <c r="C10" s="45" t="s">
        <v>120</v>
      </c>
      <c r="D10" s="48" t="s">
        <v>121</v>
      </c>
      <c r="E10" s="44" t="s">
        <v>122</v>
      </c>
      <c r="F10" s="44" t="s">
        <v>123</v>
      </c>
      <c r="G10" s="45" t="s">
        <v>124</v>
      </c>
      <c r="H10" s="44" t="s">
        <v>125</v>
      </c>
      <c r="I10" s="44" t="s">
        <v>126</v>
      </c>
      <c r="J10" s="49" t="s">
        <v>127</v>
      </c>
      <c r="K10" s="49" t="s">
        <v>128</v>
      </c>
      <c r="L10" s="21" t="s">
        <v>129</v>
      </c>
      <c r="M10" s="21" t="s">
        <v>130</v>
      </c>
      <c r="N10" s="43" t="s">
        <v>131</v>
      </c>
      <c r="O10" s="44" t="s">
        <v>132</v>
      </c>
      <c r="P10" s="44" t="s">
        <v>112</v>
      </c>
      <c r="Q10" s="44" t="s">
        <v>133</v>
      </c>
      <c r="R10" s="44" t="s">
        <v>134</v>
      </c>
      <c r="S10" s="44" t="s">
        <v>135</v>
      </c>
      <c r="T10" s="44" t="s">
        <v>136</v>
      </c>
      <c r="U10" s="44" t="s">
        <v>137</v>
      </c>
      <c r="V10" s="44" t="s">
        <v>138</v>
      </c>
      <c r="W10" s="44" t="s">
        <v>139</v>
      </c>
      <c r="X10" s="44" t="s">
        <v>140</v>
      </c>
      <c r="Y10" s="44" t="s">
        <v>141</v>
      </c>
      <c r="Z10" s="44" t="s">
        <v>142</v>
      </c>
      <c r="AA10" s="46" t="s">
        <v>143</v>
      </c>
      <c r="AB10" s="46" t="s">
        <v>144</v>
      </c>
      <c r="AC10" s="47" t="s">
        <v>145</v>
      </c>
      <c r="AD10" s="46" t="s">
        <v>146</v>
      </c>
      <c r="AE10" s="46" t="s">
        <v>147</v>
      </c>
      <c r="AF10" s="47" t="s">
        <v>148</v>
      </c>
      <c r="AG10" s="23" t="s">
        <v>149</v>
      </c>
      <c r="AH10" s="23" t="s">
        <v>150</v>
      </c>
      <c r="AI10" s="23" t="s">
        <v>151</v>
      </c>
      <c r="AJ10" s="23" t="s">
        <v>152</v>
      </c>
      <c r="AK10" s="23" t="s">
        <v>153</v>
      </c>
      <c r="AL10" s="23" t="s">
        <v>154</v>
      </c>
      <c r="AM10" s="23" t="s">
        <v>155</v>
      </c>
      <c r="AN10" s="23" t="s">
        <v>156</v>
      </c>
      <c r="AO10" s="23" t="s">
        <v>157</v>
      </c>
      <c r="AP10" s="23" t="s">
        <v>158</v>
      </c>
    </row>
    <row r="11" spans="1:42" x14ac:dyDescent="0.2">
      <c r="A11" s="3">
        <v>1</v>
      </c>
      <c r="B11" s="3" t="inlineStr">
        <is>
          <t>Material 1</t>
        </is>
      </c>
      <c r="C11" s="3">
        <v>18.2</v>
      </c>
      <c r="D11" s="3">
        <v>18.2</v>
      </c>
      <c r="E11" s="3" t="inlineStr">
        <is>
          <t>mc</t>
        </is>
      </c>
      <c r="F11" s="3">
        <v>13.8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>
        <v>13.8</v>
      </c>
      <c r="M11" s="3">
        <v>50000.0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C9:Z9"/>
    <mergeCell ref="AA9:AF9"/>
    <mergeCell ref="AG9:AP9"/>
  </mergeCells>
  <conditionalFormatting sqref="F11:K52 AB11:AF52">
    <cfRule type="expression" dxfId="19" priority="6">
      <formula>$E11="hb"</formula>
    </cfRule>
    <cfRule type="expression" dxfId="18" priority="7">
      <formula>$E11="pow"</formula>
    </cfRule>
  </conditionalFormatting>
  <conditionalFormatting sqref="F11:L52 O11:R52">
    <cfRule type="expression" dxfId="17" priority="19">
      <formula>$E11="elastic"</formula>
    </cfRule>
  </conditionalFormatting>
  <conditionalFormatting sqref="G11:G52">
    <cfRule type="expression" dxfId="16" priority="8">
      <formula>$E11="cp"</formula>
    </cfRule>
  </conditionalFormatting>
  <conditionalFormatting sqref="H11:I52">
    <cfRule type="expression" dxfId="15" priority="9">
      <formula>$E11="mc"</formula>
    </cfRule>
  </conditionalFormatting>
  <conditionalFormatting sqref="J11:K52">
    <cfRule type="expression" dxfId="14" priority="10">
      <formula>$E11="cp"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S11:V52">
    <cfRule type="expression" dxfId="12" priority="11">
      <formula>AND($E11&lt;&gt;"",$E11&lt;&gt;"pow")</formula>
    </cfRule>
  </conditionalFormatting>
  <conditionalFormatting sqref="W11:Z52">
    <cfRule type="expression" dxfId="11" priority="12">
      <formula>AND($E11&lt;&gt;"",$E11&lt;&gt;"hb")</formula>
    </cfRule>
  </conditionalFormatting>
  <conditionalFormatting sqref="AB11:AF52">
    <cfRule type="expression" dxfId="10" priority="21">
      <formula>$E11="elastic"</formula>
    </cfRule>
  </conditionalFormatting>
  <conditionalFormatting sqref="AC11:AC52">
    <cfRule type="expression" dxfId="9" priority="14">
      <formula>$E11="cp"</formula>
    </cfRule>
  </conditionalFormatting>
  <conditionalFormatting sqref="AD11:AD52">
    <cfRule type="expression" dxfId="8" priority="15">
      <formula>$E11="mc"</formula>
    </cfRule>
  </conditionalFormatting>
  <conditionalFormatting sqref="AE11:AF52">
    <cfRule type="expression" dxfId="7" priority="16">
      <formula>$E11="cp"</formula>
    </cfRule>
  </conditionalFormatting>
  <conditionalFormatting sqref="AK11:AL52">
    <cfRule type="expression" dxfId="6" priority="17">
      <formula>OR($AJ11="vg",$AJ11="gard")</formula>
    </cfRule>
  </conditionalFormatting>
  <conditionalFormatting sqref="AM11:AN52">
    <cfRule type="expression" dxfId="5" priority="1">
      <formula>$AJ11="lf"</formula>
    </cfRule>
  </conditionalFormatting>
  <conditionalFormatting sqref="Q11:R52">
    <cfRule type="expression" dxfId="1" priority="23">
      <formula>$E11="cp"</formula>
    </cfRule>
    <cfRule type="expression" dxfId="0" priority="24">
      <formula>AND($O11&lt;&gt;"",$O11&lt;&gt;"piezo",$O11&lt;&gt;"seep")</formula>
    </cfRule>
  </conditionalFormatting>
  <dataValidations count="3">
    <dataValidation type="list" allowBlank="1" sqref="E11:E52" xr:uid="{00000000-0002-0000-0200-000000000000}">
      <formula1>$C$3:$C$7</formula1>
    </dataValidation>
    <dataValidation type="list" allowBlank="1" sqref="AJ11:AJ102" xr:uid="{00000000-0002-0000-0200-000001000000}">
      <formula1>$AJ$3:$AJ$5</formula1>
    </dataValidation>
    <dataValidation type="list" allowBlank="1" sqref="O11:O52" xr:uid="{00000000-0002-0000-0200-000002000000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159</v>
      </c>
      <c r="B2" s="3">
        <v>0.0</v>
      </c>
      <c r="D2" s="24" t="s">
        <v>160</v>
      </c>
    </row>
    <row r="4" spans="1:44" x14ac:dyDescent="0.2">
      <c r="A4" s="55" t="inlineStr">
        <is>
          <t>Profile Line #1</t>
        </is>
      </c>
      <c r="B4" s="52"/>
      <c r="D4" s="55" t="s">
        <v>162</v>
      </c>
      <c r="E4" s="52"/>
      <c r="G4" s="55" t="s">
        <v>163</v>
      </c>
      <c r="H4" s="52"/>
      <c r="J4" s="55" t="s">
        <v>164</v>
      </c>
      <c r="K4" s="52"/>
      <c r="M4" s="55" t="s">
        <v>165</v>
      </c>
      <c r="N4" s="52"/>
      <c r="P4" s="55" t="s">
        <v>166</v>
      </c>
      <c r="Q4" s="54"/>
      <c r="R4" s="1"/>
      <c r="S4" s="55" t="s">
        <v>167</v>
      </c>
      <c r="T4" s="54"/>
      <c r="U4" s="1"/>
      <c r="V4" s="55" t="s">
        <v>168</v>
      </c>
      <c r="W4" s="54"/>
      <c r="X4" s="1"/>
      <c r="Y4" s="55" t="s">
        <v>169</v>
      </c>
      <c r="Z4" s="54"/>
      <c r="AA4" s="1"/>
      <c r="AB4" s="55" t="s">
        <v>170</v>
      </c>
      <c r="AC4" s="54"/>
      <c r="AE4" s="55" t="s">
        <v>171</v>
      </c>
      <c r="AF4" s="54"/>
      <c r="AG4" s="1"/>
      <c r="AH4" s="55" t="s">
        <v>172</v>
      </c>
      <c r="AI4" s="54"/>
      <c r="AJ4" s="1"/>
      <c r="AK4" s="55" t="s">
        <v>173</v>
      </c>
      <c r="AL4" s="54"/>
      <c r="AM4" s="1"/>
      <c r="AN4" s="55" t="s">
        <v>174</v>
      </c>
      <c r="AO4" s="54"/>
      <c r="AP4" s="1"/>
      <c r="AQ4" s="55" t="s">
        <v>175</v>
      </c>
      <c r="AR4" s="54"/>
    </row>
    <row r="5" spans="1:44" x14ac:dyDescent="0.2">
      <c r="A5" s="36" t="s">
        <v>176</v>
      </c>
      <c r="B5" s="37">
        <v>1</v>
      </c>
      <c r="D5" s="36" t="s">
        <v>176</v>
      </c>
      <c r="E5" s="37">
        <v>2</v>
      </c>
      <c r="G5" s="36" t="s">
        <v>176</v>
      </c>
      <c r="H5" s="37">
        <v>3</v>
      </c>
      <c r="J5" s="36" t="s">
        <v>176</v>
      </c>
      <c r="K5" s="37">
        <v>4</v>
      </c>
      <c r="M5" s="36" t="s">
        <v>176</v>
      </c>
      <c r="N5" s="37">
        <v>5</v>
      </c>
      <c r="P5" s="36" t="s">
        <v>176</v>
      </c>
      <c r="Q5" s="37">
        <v>6</v>
      </c>
      <c r="R5" s="1"/>
      <c r="S5" s="36" t="s">
        <v>176</v>
      </c>
      <c r="T5" s="37">
        <v>7</v>
      </c>
      <c r="U5" s="1"/>
      <c r="V5" s="36" t="s">
        <v>176</v>
      </c>
      <c r="W5" s="37">
        <v>8</v>
      </c>
      <c r="X5" s="1"/>
      <c r="Y5" s="36" t="s">
        <v>176</v>
      </c>
      <c r="Z5" s="37">
        <v>9</v>
      </c>
      <c r="AA5" s="1"/>
      <c r="AB5" s="36" t="s">
        <v>176</v>
      </c>
      <c r="AC5" s="37">
        <v>10</v>
      </c>
      <c r="AE5" s="36" t="s">
        <v>176</v>
      </c>
      <c r="AF5" s="37">
        <v>11</v>
      </c>
      <c r="AG5" s="1"/>
      <c r="AH5" s="36" t="s">
        <v>176</v>
      </c>
      <c r="AI5" s="37">
        <v>12</v>
      </c>
      <c r="AJ5" s="1"/>
      <c r="AK5" s="36" t="s">
        <v>176</v>
      </c>
      <c r="AL5" s="37">
        <v>13</v>
      </c>
      <c r="AM5" s="1"/>
      <c r="AN5" s="36" t="s">
        <v>176</v>
      </c>
      <c r="AO5" s="37">
        <v>14</v>
      </c>
      <c r="AP5" s="1"/>
      <c r="AQ5" s="36" t="s">
        <v>176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0.0</v>
      </c>
      <c r="B8" s="3">
        <v>7.0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34.0</v>
      </c>
      <c r="B9" s="3">
        <v>7.0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87.0</v>
      </c>
      <c r="B10" s="3">
        <v>24.0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100.0</v>
      </c>
      <c r="B11" s="3">
        <v>29.0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107.0</v>
      </c>
      <c r="B12" s="3">
        <v>29.0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158.0</v>
      </c>
      <c r="B13" s="3">
        <v>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191.0</v>
      </c>
      <c r="B14" s="3">
        <v>7.0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179</v>
      </c>
      <c r="G2" s="9" t="s">
        <v>303</v>
      </c>
    </row>
    <row r="4" spans="1:44" x14ac:dyDescent="0.2">
      <c r="A4" s="55" t="inlineStr">
        <is>
          <t>Polygon #1</t>
        </is>
      </c>
      <c r="B4" s="52"/>
      <c r="D4" s="55" t="s">
        <v>181</v>
      </c>
      <c r="E4" s="52"/>
      <c r="G4" s="55" t="s">
        <v>182</v>
      </c>
      <c r="H4" s="52"/>
      <c r="J4" s="55" t="s">
        <v>183</v>
      </c>
      <c r="K4" s="52"/>
      <c r="M4" s="55" t="s">
        <v>184</v>
      </c>
      <c r="N4" s="52"/>
      <c r="P4" s="55" t="s">
        <v>185</v>
      </c>
      <c r="Q4" s="54"/>
      <c r="R4" s="1"/>
      <c r="S4" s="55" t="s">
        <v>186</v>
      </c>
      <c r="T4" s="54"/>
      <c r="U4" s="1"/>
      <c r="V4" s="55" t="s">
        <v>187</v>
      </c>
      <c r="W4" s="54"/>
      <c r="X4" s="1"/>
      <c r="Y4" s="55" t="s">
        <v>188</v>
      </c>
      <c r="Z4" s="54"/>
      <c r="AA4" s="1"/>
      <c r="AB4" s="55" t="s">
        <v>189</v>
      </c>
      <c r="AC4" s="54"/>
      <c r="AE4" s="55" t="s">
        <v>190</v>
      </c>
      <c r="AF4" s="54"/>
      <c r="AG4" s="1"/>
      <c r="AH4" s="55" t="s">
        <v>191</v>
      </c>
      <c r="AI4" s="54"/>
      <c r="AJ4" s="1"/>
      <c r="AK4" s="55" t="s">
        <v>192</v>
      </c>
      <c r="AL4" s="54"/>
      <c r="AM4" s="1"/>
      <c r="AN4" s="55" t="s">
        <v>193</v>
      </c>
      <c r="AO4" s="54"/>
      <c r="AP4" s="1"/>
      <c r="AQ4" s="55" t="s">
        <v>194</v>
      </c>
      <c r="AR4" s="54"/>
    </row>
    <row r="5" spans="1:44" x14ac:dyDescent="0.2">
      <c r="A5" s="38" t="s">
        <v>176</v>
      </c>
      <c r="B5" s="39">
        <v>-1</v>
      </c>
      <c r="D5" s="38" t="s">
        <v>176</v>
      </c>
      <c r="E5" s="39">
        <v>2</v>
      </c>
      <c r="G5" s="38" t="s">
        <v>176</v>
      </c>
      <c r="H5" s="39">
        <v>3</v>
      </c>
      <c r="J5" s="38" t="s">
        <v>176</v>
      </c>
      <c r="K5" s="39">
        <v>4</v>
      </c>
      <c r="M5" s="38" t="s">
        <v>176</v>
      </c>
      <c r="N5" s="39">
        <v>5</v>
      </c>
      <c r="P5" s="38" t="s">
        <v>176</v>
      </c>
      <c r="Q5" s="39">
        <v>6</v>
      </c>
      <c r="R5" s="1"/>
      <c r="S5" s="38" t="s">
        <v>176</v>
      </c>
      <c r="T5" s="39">
        <v>7</v>
      </c>
      <c r="U5" s="1"/>
      <c r="V5" s="38" t="s">
        <v>176</v>
      </c>
      <c r="W5" s="39">
        <v>8</v>
      </c>
      <c r="X5" s="1"/>
      <c r="Y5" s="38" t="s">
        <v>176</v>
      </c>
      <c r="Z5" s="39">
        <v>9</v>
      </c>
      <c r="AA5" s="1"/>
      <c r="AB5" s="38" t="s">
        <v>176</v>
      </c>
      <c r="AC5" s="39">
        <v>10</v>
      </c>
      <c r="AE5" s="38" t="s">
        <v>176</v>
      </c>
      <c r="AF5" s="39">
        <v>11</v>
      </c>
      <c r="AG5" s="1"/>
      <c r="AH5" s="38" t="s">
        <v>176</v>
      </c>
      <c r="AI5" s="39">
        <v>12</v>
      </c>
      <c r="AJ5" s="1"/>
      <c r="AK5" s="38" t="s">
        <v>176</v>
      </c>
      <c r="AL5" s="39">
        <v>13</v>
      </c>
      <c r="AM5" s="1"/>
      <c r="AN5" s="38" t="s">
        <v>176</v>
      </c>
      <c r="AO5" s="39">
        <v>14</v>
      </c>
      <c r="AP5" s="1"/>
      <c r="AQ5" s="38" t="s">
        <v>176</v>
      </c>
      <c r="AR5" s="39">
        <v>15</v>
      </c>
    </row>
    <row r="6" spans="1:44" x14ac:dyDescent="0.2">
      <c r="A6" s="58" t="str">
        <f>IF(B5=-1,"SSR reduce",IF(B5=-2,"SSR hold",IF(B5=-3,"SSR elastic",_xlfn.XLOOKUP(B5,mat!$A:$A, mat!$B:$B,"") &amp; "")))</f>
        <v/>
      </c>
      <c r="B6" s="57"/>
      <c r="D6" s="58" t="str">
        <f>IF(E5=-1,"SSR reduce",IF(E5=-2,"SSR hold",IF(E5=-3,"SSR elastic",_xlfn.XLOOKUP(E5,mat!$A:$A, mat!$B:$B,"") &amp; "")))</f>
        <v/>
      </c>
      <c r="E6" s="57"/>
      <c r="G6" s="58" t="str">
        <f>IF(H5=-1,"SSR reduce",IF(H5=-2,"SSR hold",IF(H5=-3,"SSR elastic",_xlfn.XLOOKUP(H5,mat!$A:$A, mat!$B:$B,"") &amp; "")))</f>
        <v/>
      </c>
      <c r="H6" s="57"/>
      <c r="J6" s="58" t="str">
        <f>IF(K5=-1,"SSR reduce",IF(K5=-2,"SSR hold",IF(K5=-3,"SSR elastic",_xlfn.XLOOKUP(K5,mat!$A:$A, mat!$B:$B,"") &amp; "")))</f>
        <v/>
      </c>
      <c r="K6" s="57"/>
      <c r="M6" s="58" t="str">
        <f>IF(N5=-1,"SSR reduce",IF(N5=-2,"SSR hold",IF(N5=-3,"SSR elastic",_xlfn.XLOOKUP(N5,mat!$A:$A, mat!$B:$B,"") &amp; "")))</f>
        <v/>
      </c>
      <c r="N6" s="57"/>
      <c r="P6" s="58" t="str">
        <f>IF(Q5=-1,"SSR reduce",IF(Q5=-2,"SSR hold",IF(Q5=-3,"SSR elastic",_xlfn.XLOOKUP(Q5,mat!$A:$A, mat!$B:$B,"") &amp; "")))</f>
        <v/>
      </c>
      <c r="Q6" s="57"/>
      <c r="R6" s="1"/>
      <c r="S6" s="58" t="str">
        <f>IF(T5=-1,"SSR reduce",IF(T5=-2,"SSR hold",IF(T5=-3,"SSR elastic",_xlfn.XLOOKUP(T5,mat!$A:$A, mat!$B:$B,"") &amp; "")))</f>
        <v/>
      </c>
      <c r="T6" s="57"/>
      <c r="U6" s="1"/>
      <c r="V6" s="58" t="str">
        <f>IF(W5=-1,"SSR reduce",IF(W5=-2,"SSR hold",IF(W5=-3,"SSR elastic",_xlfn.XLOOKUP(W5,mat!$A:$A, mat!$B:$B,"") &amp; "")))</f>
        <v/>
      </c>
      <c r="W6" s="57"/>
      <c r="X6" s="1"/>
      <c r="Y6" s="58" t="str">
        <f>IF(Z5=-1,"SSR reduce",IF(Z5=-2,"SSR hold",IF(Z5=-3,"SSR elastic",_xlfn.XLOOKUP(Z5,mat!$A:$A, mat!$B:$B,"") &amp; "")))</f>
        <v/>
      </c>
      <c r="Z6" s="57"/>
      <c r="AA6" s="1"/>
      <c r="AB6" s="58" t="str">
        <f>IF(AC5=-1,"SSR reduce",IF(AC5=-2,"SSR hold",IF(AC5=-3,"SSR elastic",_xlfn.XLOOKUP(AC5,mat!$A:$A, mat!$B:$B,"") &amp; "")))</f>
        <v/>
      </c>
      <c r="AC6" s="57"/>
      <c r="AE6" s="58" t="str">
        <f>IF(AF5=-1,"SSR reduce",IF(AF5=-2,"SSR hold",IF(AF5=-3,"SSR elastic",_xlfn.XLOOKUP(AF5,mat!$A:$A, mat!$B:$B,"") &amp; "")))</f>
        <v/>
      </c>
      <c r="AF6" s="57"/>
      <c r="AG6" s="1"/>
      <c r="AH6" s="58" t="str">
        <f>IF(AI5=-1,"SSR reduce",IF(AI5=-2,"SSR hold",IF(AI5=-3,"SSR elastic",_xlfn.XLOOKUP(AI5,mat!$A:$A, mat!$B:$B,"") &amp; "")))</f>
        <v/>
      </c>
      <c r="AI6" s="57"/>
      <c r="AJ6" s="1"/>
      <c r="AK6" s="58" t="str">
        <f>IF(AL5=-1,"SSR reduce",IF(AL5=-2,"SSR hold",IF(AL5=-3,"SSR elastic",_xlfn.XLOOKUP(AL5,mat!$A:$A, mat!$B:$B,"") &amp; "")))</f>
        <v/>
      </c>
      <c r="AL6" s="57"/>
      <c r="AM6" s="1"/>
      <c r="AN6" s="58" t="str">
        <f>IF(AO5=-1,"SSR reduce",IF(AO5=-2,"SSR hold",IF(AO5=-3,"SSR elastic",_xlfn.XLOOKUP(AO5,mat!$A:$A, mat!$B:$B,"") &amp; "")))</f>
        <v/>
      </c>
      <c r="AO6" s="57"/>
      <c r="AP6" s="1"/>
      <c r="AQ6" s="58" t="str">
        <f>IF(AR5=-1,"SSR reduce",IF(AR5=-2,"SSR hold",IF(AR5=-3,"SSR elastic",_xlfn.XLOOKUP(AR5,mat!$A:$A, mat!$B:$B,"") &amp; "")))</f>
        <v/>
      </c>
      <c r="AR6" s="57"/>
    </row>
    <row r="7" spans="1:44" x14ac:dyDescent="0.2">
      <c r="A7" s="2" t="s">
        <v>177</v>
      </c>
      <c r="B7" s="2" t="s">
        <v>178</v>
      </c>
      <c r="D7" s="2" t="s">
        <v>177</v>
      </c>
      <c r="E7" s="2" t="s">
        <v>178</v>
      </c>
      <c r="G7" s="2" t="s">
        <v>177</v>
      </c>
      <c r="H7" s="2" t="s">
        <v>178</v>
      </c>
      <c r="J7" s="2" t="s">
        <v>177</v>
      </c>
      <c r="K7" s="2" t="s">
        <v>178</v>
      </c>
      <c r="M7" s="2" t="s">
        <v>177</v>
      </c>
      <c r="N7" s="2" t="s">
        <v>178</v>
      </c>
      <c r="P7" s="2" t="s">
        <v>177</v>
      </c>
      <c r="Q7" s="2" t="s">
        <v>178</v>
      </c>
      <c r="R7" s="1"/>
      <c r="S7" s="2" t="s">
        <v>177</v>
      </c>
      <c r="T7" s="2" t="s">
        <v>178</v>
      </c>
      <c r="U7" s="1"/>
      <c r="V7" s="2" t="s">
        <v>177</v>
      </c>
      <c r="W7" s="2" t="s">
        <v>178</v>
      </c>
      <c r="X7" s="1"/>
      <c r="Y7" s="2" t="s">
        <v>177</v>
      </c>
      <c r="Z7" s="2" t="s">
        <v>178</v>
      </c>
      <c r="AA7" s="1"/>
      <c r="AB7" s="2" t="s">
        <v>177</v>
      </c>
      <c r="AC7" s="2" t="s">
        <v>178</v>
      </c>
      <c r="AE7" s="2" t="s">
        <v>177</v>
      </c>
      <c r="AF7" s="2" t="s">
        <v>178</v>
      </c>
      <c r="AG7" s="1"/>
      <c r="AH7" s="2" t="s">
        <v>177</v>
      </c>
      <c r="AI7" s="2" t="s">
        <v>178</v>
      </c>
      <c r="AJ7" s="1"/>
      <c r="AK7" s="2" t="s">
        <v>177</v>
      </c>
      <c r="AL7" s="2" t="s">
        <v>178</v>
      </c>
      <c r="AM7" s="1"/>
      <c r="AN7" s="2" t="s">
        <v>177</v>
      </c>
      <c r="AO7" s="2" t="s">
        <v>178</v>
      </c>
      <c r="AP7" s="1"/>
      <c r="AQ7" s="2" t="s">
        <v>177</v>
      </c>
      <c r="AR7" s="2" t="s">
        <v>178</v>
      </c>
    </row>
    <row r="8" spans="1:44" x14ac:dyDescent="0.2">
      <c r="A8" s="3">
        <v>99.75</v>
      </c>
      <c r="B8" s="3">
        <v>31.7083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99.75</v>
      </c>
      <c r="B9" s="3">
        <v>-3.87346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186.217</v>
      </c>
      <c r="B10" s="3">
        <v>-3.87346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186.217</v>
      </c>
      <c r="B11" s="3">
        <v>31.7083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195</v>
      </c>
      <c r="B2" s="54"/>
      <c r="D2" s="60" t="s">
        <v>196</v>
      </c>
      <c r="E2" s="54"/>
      <c r="G2" s="22" t="s">
        <v>197</v>
      </c>
    </row>
    <row r="3" spans="1:8" x14ac:dyDescent="0.2">
      <c r="A3" s="32" t="s">
        <v>198</v>
      </c>
      <c r="B3" s="33" t="inlineStr">
        <is>
          <t>piezo</t>
        </is>
      </c>
      <c r="D3" s="34" t="s">
        <v>198</v>
      </c>
      <c r="E3" s="35" t="inlineStr">
        <is>
          <t>piezo</t>
        </is>
      </c>
      <c r="G3" s="22"/>
    </row>
    <row r="4" spans="1:8" x14ac:dyDescent="0.2">
      <c r="A4" s="2" t="s">
        <v>177</v>
      </c>
      <c r="B4" s="2" t="s">
        <v>178</v>
      </c>
      <c r="D4" s="2" t="s">
        <v>177</v>
      </c>
      <c r="E4" s="2" t="s">
        <v>178</v>
      </c>
      <c r="G4" s="6" t="s">
        <v>199</v>
      </c>
      <c r="H4" s="1"/>
    </row>
    <row r="5" spans="1:8" x14ac:dyDescent="0.2">
      <c r="A5" s="3"/>
      <c r="B5" s="3"/>
      <c r="D5" s="3"/>
      <c r="E5" s="3"/>
      <c r="G5" s="1" t="s">
        <v>32</v>
      </c>
      <c r="H5" t="s">
        <v>200</v>
      </c>
    </row>
    <row r="6" spans="1:8" x14ac:dyDescent="0.2">
      <c r="A6" s="3"/>
      <c r="B6" s="3"/>
      <c r="D6" s="3"/>
      <c r="E6" s="3"/>
      <c r="G6" s="1" t="s">
        <v>201</v>
      </c>
      <c r="H6" t="s">
        <v>202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500-000000000000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203</v>
      </c>
      <c r="B2" s="13" t="s">
        <v>204</v>
      </c>
      <c r="C2" s="13" t="s">
        <v>205</v>
      </c>
      <c r="D2" s="13" t="s">
        <v>206</v>
      </c>
      <c r="E2" s="13" t="s">
        <v>207</v>
      </c>
      <c r="F2" s="13" t="s">
        <v>208</v>
      </c>
      <c r="G2" s="13" t="s">
        <v>209</v>
      </c>
      <c r="H2" s="13" t="s">
        <v>210</v>
      </c>
      <c r="J2" s="5" t="s">
        <v>211</v>
      </c>
      <c r="K2" s="10" t="s">
        <v>16</v>
      </c>
    </row>
    <row r="3" spans="1:14" x14ac:dyDescent="0.2">
      <c r="A3" s="3">
        <v>1</v>
      </c>
      <c r="B3" s="3">
        <v>120.0</v>
      </c>
      <c r="C3" s="3">
        <v>50.0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207</v>
      </c>
      <c r="K3" s="9" t="s">
        <v>212</v>
      </c>
    </row>
    <row r="4" spans="1:14" x14ac:dyDescent="0.2">
      <c r="A4" s="3">
        <v>2</v>
      </c>
      <c r="B4" s="3">
        <v>130.0</v>
      </c>
      <c r="C4" s="3">
        <v>70.0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213</v>
      </c>
      <c r="K4" s="9" t="s">
        <v>214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215</v>
      </c>
      <c r="K5" t="s">
        <v>216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220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221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222</v>
      </c>
      <c r="K12"/>
    </row>
    <row r="13" spans="1:14" x14ac:dyDescent="0.2">
      <c r="J13" s="14" t="s">
        <v>223</v>
      </c>
      <c r="K13"/>
    </row>
    <row r="14" spans="1:14" x14ac:dyDescent="0.2">
      <c r="J14" s="14" t="s">
        <v>224</v>
      </c>
      <c r="K14"/>
    </row>
    <row r="15" spans="1:14" x14ac:dyDescent="0.2">
      <c r="J15" s="14" t="s">
        <v>225</v>
      </c>
      <c r="K15"/>
    </row>
    <row r="16" spans="1:14" x14ac:dyDescent="0.2">
      <c r="J16" s="14" t="s">
        <v>226</v>
      </c>
      <c r="K16" s="1"/>
      <c r="L16" s="1"/>
      <c r="M16" s="1"/>
      <c r="N16" s="1"/>
    </row>
    <row r="17" spans="10:10" x14ac:dyDescent="0.2">
      <c r="J17" s="14" t="s">
        <v>227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600-000000000000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228</v>
      </c>
      <c r="B2" s="11" t="s">
        <v>229</v>
      </c>
      <c r="C2" s="12" t="s">
        <v>230</v>
      </c>
      <c r="E2" s="6" t="s">
        <v>211</v>
      </c>
      <c r="F2" s="6" t="s">
        <v>16</v>
      </c>
    </row>
    <row r="3" spans="1:6" x14ac:dyDescent="0.2">
      <c r="A3" s="3"/>
      <c r="B3" s="3"/>
      <c r="C3" s="3"/>
      <c r="E3" t="s">
        <v>231</v>
      </c>
      <c r="F3" t="s">
        <v>232</v>
      </c>
    </row>
    <row r="4" spans="1:6" x14ac:dyDescent="0.2">
      <c r="A4" s="3"/>
      <c r="B4" s="3"/>
      <c r="C4" s="3"/>
      <c r="E4" t="s">
        <v>233</v>
      </c>
      <c r="F4" t="s">
        <v>234</v>
      </c>
    </row>
    <row r="5" spans="1:6" x14ac:dyDescent="0.2">
      <c r="A5" s="3"/>
      <c r="B5" s="3"/>
      <c r="C5" s="3"/>
      <c r="E5" t="s">
        <v>235</v>
      </c>
      <c r="F5" t="s">
        <v>236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700-000000000000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237</v>
      </c>
      <c r="C2" s="62"/>
      <c r="D2" s="62"/>
      <c r="F2" s="61" t="s">
        <v>238</v>
      </c>
      <c r="G2" s="62"/>
      <c r="H2" s="62"/>
      <c r="J2" s="61" t="s">
        <v>239</v>
      </c>
      <c r="K2" s="62"/>
      <c r="L2" s="62"/>
      <c r="N2" s="61" t="s">
        <v>240</v>
      </c>
      <c r="O2" s="62"/>
      <c r="P2" s="62"/>
      <c r="R2" s="61" t="s">
        <v>241</v>
      </c>
      <c r="S2" s="62"/>
      <c r="T2" s="62"/>
      <c r="V2" s="61" t="s">
        <v>242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3" t="s">
        <v>244</v>
      </c>
      <c r="C2" s="62"/>
      <c r="D2" s="62"/>
      <c r="F2" s="63" t="s">
        <v>245</v>
      </c>
      <c r="G2" s="62"/>
      <c r="H2" s="62"/>
      <c r="J2" s="63" t="s">
        <v>246</v>
      </c>
      <c r="K2" s="62"/>
      <c r="L2" s="62"/>
      <c r="N2" s="63" t="s">
        <v>247</v>
      </c>
      <c r="O2" s="62"/>
      <c r="P2" s="62"/>
      <c r="R2" s="63" t="s">
        <v>248</v>
      </c>
      <c r="S2" s="62"/>
      <c r="T2" s="62"/>
      <c r="V2" s="63" t="s">
        <v>249</v>
      </c>
      <c r="W2" s="62"/>
      <c r="X2" s="62"/>
    </row>
    <row r="3" spans="2:24" x14ac:dyDescent="0.2">
      <c r="B3" s="2" t="s">
        <v>228</v>
      </c>
      <c r="C3" s="2" t="s">
        <v>229</v>
      </c>
      <c r="D3" s="2" t="s">
        <v>243</v>
      </c>
      <c r="F3" s="2" t="s">
        <v>228</v>
      </c>
      <c r="G3" s="2" t="s">
        <v>229</v>
      </c>
      <c r="H3" s="2" t="s">
        <v>243</v>
      </c>
      <c r="J3" s="2" t="s">
        <v>228</v>
      </c>
      <c r="K3" s="2" t="s">
        <v>229</v>
      </c>
      <c r="L3" s="2" t="s">
        <v>243</v>
      </c>
      <c r="N3" s="2" t="s">
        <v>228</v>
      </c>
      <c r="O3" s="2" t="s">
        <v>229</v>
      </c>
      <c r="P3" s="2" t="s">
        <v>243</v>
      </c>
      <c r="R3" s="2" t="s">
        <v>228</v>
      </c>
      <c r="S3" s="2" t="s">
        <v>229</v>
      </c>
      <c r="T3" s="2" t="s">
        <v>243</v>
      </c>
      <c r="V3" s="2" t="s">
        <v>228</v>
      </c>
      <c r="W3" s="2" t="s">
        <v>229</v>
      </c>
      <c r="X3" s="2" t="s">
        <v>243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B2:D2"/>
    <mergeCell ref="V2:X2"/>
    <mergeCell ref="J2:L2"/>
    <mergeCell ref="N2:P2"/>
    <mergeCell ref="R2:T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255</v>
      </c>
      <c r="H2" s="40" t="s">
        <v>256</v>
      </c>
      <c r="I2" s="40" t="s">
        <v>257</v>
      </c>
      <c r="J2" s="27" t="s">
        <v>258</v>
      </c>
      <c r="K2" s="27" t="s">
        <v>259</v>
      </c>
      <c r="L2" s="27" t="s">
        <v>260</v>
      </c>
      <c r="M2" s="27" t="s">
        <v>261</v>
      </c>
      <c r="N2" s="27" t="s">
        <v>262</v>
      </c>
      <c r="O2" s="27" t="s">
        <v>263</v>
      </c>
      <c r="P2" s="28" t="s">
        <v>264</v>
      </c>
      <c r="Q2" s="28" t="s">
        <v>130</v>
      </c>
      <c r="R2" s="28" t="s">
        <v>265</v>
      </c>
      <c r="Z2" t="s">
        <v>266</v>
      </c>
      <c r="AA2" t="s">
        <v>267</v>
      </c>
      <c r="AB2" t="s">
        <v>268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269</v>
      </c>
      <c r="AA3" t="s">
        <v>270</v>
      </c>
      <c r="AB3" t="s">
        <v>271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272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273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266</v>
      </c>
      <c r="AA8" t="s">
        <v>267</v>
      </c>
      <c r="AB8" t="s">
        <v>268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269</v>
      </c>
      <c r="AA9" t="s">
        <v>270</v>
      </c>
      <c r="AB9" t="s">
        <v>271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272</v>
      </c>
      <c r="AA10" t="s">
        <v>270</v>
      </c>
      <c r="AB10" t="s">
        <v>268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273</v>
      </c>
      <c r="AA11" t="s">
        <v>270</v>
      </c>
      <c r="AB11" t="s">
        <v>268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98</v>
      </c>
    </row>
    <row r="24" spans="1:21" x14ac:dyDescent="0.2">
      <c r="K24" s="9"/>
      <c r="L24" s="9"/>
      <c r="T24" s="26"/>
      <c r="U24" s="9" t="s">
        <v>104</v>
      </c>
    </row>
    <row r="25" spans="1:21" x14ac:dyDescent="0.2">
      <c r="K25" s="9"/>
      <c r="L25" s="9"/>
      <c r="T25" s="29"/>
      <c r="U25" s="9" t="s">
        <v>111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203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40" t="s">
        <v>274</v>
      </c>
      <c r="H2" s="40" t="s">
        <v>275</v>
      </c>
      <c r="I2" s="40" t="s">
        <v>257</v>
      </c>
      <c r="J2" s="27" t="s">
        <v>276</v>
      </c>
      <c r="K2" s="27" t="s">
        <v>277</v>
      </c>
      <c r="L2" s="41" t="s">
        <v>278</v>
      </c>
      <c r="M2" s="41" t="s">
        <v>279</v>
      </c>
      <c r="N2" s="28" t="s">
        <v>130</v>
      </c>
      <c r="O2" s="28" t="s">
        <v>280</v>
      </c>
      <c r="P2" s="28" t="s">
        <v>265</v>
      </c>
      <c r="Q2" s="28" t="s">
        <v>281</v>
      </c>
      <c r="Z2" t="s">
        <v>231</v>
      </c>
      <c r="AA2" t="s">
        <v>268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235</v>
      </c>
      <c r="AA3" t="s">
        <v>271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98</v>
      </c>
    </row>
    <row r="17" spans="19:20" x14ac:dyDescent="0.2">
      <c r="S17" s="26"/>
      <c r="T17" s="9" t="s">
        <v>104</v>
      </c>
    </row>
    <row r="18" spans="19:20" x14ac:dyDescent="0.2">
      <c r="S18" s="29"/>
      <c r="T18" s="9" t="s">
        <v>111</v>
      </c>
    </row>
  </sheetData>
  <dataValidations count="2">
    <dataValidation type="list" allowBlank="1" showInputMessage="1" showErrorMessage="1" sqref="Q3:Q12" xr:uid="{00000000-0002-0000-0B00-000000000000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203</v>
      </c>
      <c r="B2" s="12" t="s">
        <v>250</v>
      </c>
      <c r="C2" s="12" t="s">
        <v>177</v>
      </c>
      <c r="D2" s="12" t="s">
        <v>178</v>
      </c>
      <c r="E2" s="12" t="s">
        <v>282</v>
      </c>
      <c r="F2" s="12" t="s">
        <v>283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284</v>
      </c>
      <c r="C2" s="65"/>
      <c r="E2" s="59" t="s">
        <v>285</v>
      </c>
      <c r="F2" s="54"/>
      <c r="H2" s="59" t="s">
        <v>286</v>
      </c>
      <c r="I2" s="54"/>
      <c r="K2" s="59" t="s">
        <v>287</v>
      </c>
      <c r="L2" s="54"/>
      <c r="N2" s="59" t="s">
        <v>288</v>
      </c>
      <c r="O2" s="54"/>
      <c r="Q2" s="59" t="s">
        <v>289</v>
      </c>
      <c r="R2" s="54"/>
    </row>
    <row r="3" spans="2:21" x14ac:dyDescent="0.2">
      <c r="B3" s="66"/>
      <c r="C3" s="67"/>
      <c r="E3" s="32" t="s">
        <v>290</v>
      </c>
      <c r="F3" s="33"/>
      <c r="H3" s="32" t="s">
        <v>290</v>
      </c>
      <c r="I3" s="33"/>
      <c r="K3" s="32" t="s">
        <v>290</v>
      </c>
      <c r="L3" s="33"/>
      <c r="N3" s="32" t="s">
        <v>290</v>
      </c>
      <c r="O3" s="33"/>
      <c r="Q3" s="32" t="s">
        <v>290</v>
      </c>
      <c r="R3" s="33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296</v>
      </c>
      <c r="C2" s="65"/>
      <c r="E2" s="60" t="s">
        <v>297</v>
      </c>
      <c r="F2" s="54"/>
      <c r="H2" s="60" t="s">
        <v>298</v>
      </c>
      <c r="I2" s="54"/>
      <c r="K2" s="60" t="s">
        <v>299</v>
      </c>
      <c r="L2" s="54"/>
      <c r="N2" s="60" t="s">
        <v>300</v>
      </c>
      <c r="O2" s="54"/>
      <c r="Q2" s="60" t="s">
        <v>301</v>
      </c>
      <c r="R2" s="54"/>
    </row>
    <row r="3" spans="2:21" x14ac:dyDescent="0.2">
      <c r="B3" s="66"/>
      <c r="C3" s="67"/>
      <c r="E3" s="34" t="s">
        <v>290</v>
      </c>
      <c r="F3" s="35"/>
      <c r="H3" s="34" t="s">
        <v>290</v>
      </c>
      <c r="I3" s="35"/>
      <c r="K3" s="34" t="s">
        <v>290</v>
      </c>
      <c r="L3" s="35"/>
      <c r="N3" s="34" t="s">
        <v>290</v>
      </c>
      <c r="O3" s="35"/>
      <c r="Q3" s="34" t="s">
        <v>290</v>
      </c>
      <c r="R3" s="35"/>
      <c r="T3" s="6" t="s">
        <v>291</v>
      </c>
    </row>
    <row r="4" spans="2:21" x14ac:dyDescent="0.2">
      <c r="B4" s="25" t="s">
        <v>177</v>
      </c>
      <c r="C4" s="25" t="s">
        <v>178</v>
      </c>
      <c r="E4" s="25" t="s">
        <v>177</v>
      </c>
      <c r="F4" s="25" t="s">
        <v>178</v>
      </c>
      <c r="H4" s="25" t="s">
        <v>177</v>
      </c>
      <c r="I4" s="25" t="s">
        <v>178</v>
      </c>
      <c r="K4" s="25" t="s">
        <v>177</v>
      </c>
      <c r="L4" s="25" t="s">
        <v>178</v>
      </c>
      <c r="N4" s="25" t="s">
        <v>177</v>
      </c>
      <c r="O4" s="25" t="s">
        <v>178</v>
      </c>
      <c r="Q4" s="25" t="s">
        <v>177</v>
      </c>
      <c r="R4" s="25" t="s">
        <v>178</v>
      </c>
      <c r="T4" s="1" t="s">
        <v>290</v>
      </c>
      <c r="U4" t="s">
        <v>292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293</v>
      </c>
      <c r="U5" t="s">
        <v>294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E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J100"/>
  <sheetViews>
    <sheetView showGridLines="0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0</v>
      </c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</row>
    <row r="3" spans="2:10" x14ac:dyDescent="0.2">
      <c r="B3" s="3"/>
      <c r="C3" s="3"/>
      <c r="D3" s="3"/>
      <c r="E3" s="3"/>
      <c r="F3" s="3"/>
      <c r="G3" s="3"/>
      <c r="I3" s="14" t="s">
        <v>6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7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10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2026-07-28T20:36:44Z</dcterms:modified>
</cp:coreProperties>
</file>