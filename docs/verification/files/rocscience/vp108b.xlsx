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<sst xmlns="http://schemas.openxmlformats.org/spreadsheetml/2006/main" count="624" uniqueCount="329">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</sst>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#1</t>
        </is>
      </c>
      <c r="C11" s="3">
        <v>21.0</v>
      </c>
      <c r="D11" s="3">
        <v>21.0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#2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17000.0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Gabion wall</t>
        </is>
      </c>
      <c r="C13" s="3">
        <v>23.0</v>
      </c>
      <c r="D13" s="3">
        <v>23.0</v>
      </c>
      <c r="E13" s="3" t="inlineStr">
        <is>
          <t>mc</t>
        </is>
      </c>
      <c r="F13" s="3">
        <v>0.0</v>
      </c>
      <c r="G13" s="3">
        <v>42.0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175000.0</v>
      </c>
      <c r="N13" s="3">
        <v>0.28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1</v>
      </c>
      <c r="G6" s="38" t="s">
        <v>163</v>
      </c>
      <c r="H6" s="39">
        <v>2</v>
      </c>
      <c r="J6" s="38" t="s">
        <v>163</v>
      </c>
      <c r="K6" s="39">
        <v>3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5.456</v>
      </c>
      <c r="D10" s="3">
        <v>17.9995</v>
      </c>
      <c r="E10" s="3">
        <v>9.001</v>
      </c>
      <c r="G10" s="3">
        <v>0.0</v>
      </c>
      <c r="H10" s="3">
        <v>0.0</v>
      </c>
      <c r="J10" s="3">
        <v>14.472</v>
      </c>
      <c r="K10" s="3">
        <v>5.456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14.472</v>
      </c>
      <c r="B11" s="3">
        <v>5.456</v>
      </c>
      <c r="D11" s="3">
        <v>30.0</v>
      </c>
      <c r="E11" s="3">
        <v>9.0</v>
      </c>
      <c r="G11" s="3">
        <v>16.453</v>
      </c>
      <c r="H11" s="3">
        <v>5.178</v>
      </c>
      <c r="J11" s="3">
        <v>14.611</v>
      </c>
      <c r="K11" s="3">
        <v>6.4465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16.453</v>
      </c>
      <c r="B12" s="3">
        <v>5.178</v>
      </c>
      <c r="D12" s="3">
        <v>30.0</v>
      </c>
      <c r="E12" s="3">
        <v>7.0</v>
      </c>
      <c r="G12" s="3">
        <v>18.434</v>
      </c>
      <c r="H12" s="3">
        <v>4.9</v>
      </c>
      <c r="J12" s="3">
        <v>15.6015</v>
      </c>
      <c r="K12" s="3">
        <v>6.3075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18.573</v>
      </c>
      <c r="E13" s="3">
        <v>5.8905</v>
      </c>
      <c r="G13" s="3">
        <v>18.573</v>
      </c>
      <c r="H13" s="3">
        <v>5.8905</v>
      </c>
      <c r="J13" s="3">
        <v>15.7405</v>
      </c>
      <c r="K13" s="3">
        <v>7.298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18.99</v>
      </c>
      <c r="E14" s="3">
        <v>8.862</v>
      </c>
      <c r="G14" s="3">
        <v>30.0</v>
      </c>
      <c r="H14" s="3">
        <v>7.0</v>
      </c>
      <c r="J14" s="3">
        <v>16.731</v>
      </c>
      <c r="K14" s="3">
        <v>7.159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30.0</v>
      </c>
      <c r="H15" s="3">
        <v>0.0</v>
      </c>
      <c r="J15" s="3">
        <v>16.87</v>
      </c>
      <c r="K15" s="3">
        <v>8.1495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>
        <v>17.8605</v>
      </c>
      <c r="K16" s="3">
        <v>8.0105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>
        <v>17.9995</v>
      </c>
      <c r="K17" s="3">
        <v>9.001</v>
      </c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>
        <v>18.99</v>
      </c>
      <c r="K18" s="3">
        <v>8.862</v>
      </c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>
        <v>18.573</v>
      </c>
      <c r="K19" s="3">
        <v>5.8905</v>
      </c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>
        <v>18.434</v>
      </c>
      <c r="K20" s="3">
        <v>4.9</v>
      </c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>
        <v>16.453</v>
      </c>
      <c r="K21" s="3">
        <v>5.178</v>
      </c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16.087</v>
      </c>
      <c r="C3" s="3">
        <v>10.358</v>
      </c>
      <c r="D3" s="3" t="inlineStr">
        <is>
          <t>Depth</t>
        </is>
      </c>
      <c r="E3" s="3">
        <v>4.306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Mesh 1</t>
        </is>
      </c>
      <c r="C3" s="3">
        <v>15.6015</v>
      </c>
      <c r="D3" s="3">
        <v>6.3075</v>
      </c>
      <c r="E3" s="3">
        <v>18.573</v>
      </c>
      <c r="F3" s="3">
        <v>5.8905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100.0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Mesh 2</t>
        </is>
      </c>
      <c r="C4" s="3">
        <v>16.731</v>
      </c>
      <c r="D4" s="3">
        <v>7.159</v>
      </c>
      <c r="E4" s="3">
        <v>18.712</v>
      </c>
      <c r="F4" s="3">
        <v>6.881</v>
      </c>
      <c r="G4" s="3" t="inlineStr">
        <is>
          <t>Geosynthetic</t>
        </is>
      </c>
      <c r="H4" s="3" t="str">
        <f>IF($G4="","",IFERROR(VLOOKUP($G4,$AH$8:$AJ$11,2,0),""))</f>
        <v>Tangent</v>
      </c>
      <c r="I4" s="3" t="str">
        <f t="shared" si="1"/>
        <v>Active</v>
      </c>
      <c r="J4" s="3">
        <v>100.0</v>
      </c>
      <c r="K4" s="3">
        <v>0.0</v>
      </c>
      <c r="L4" s="3">
        <v>0.0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Mesh 3</t>
        </is>
      </c>
      <c r="C5" s="3">
        <v>17.8605</v>
      </c>
      <c r="D5" s="3">
        <v>8.0105</v>
      </c>
      <c r="E5" s="3">
        <v>18.851</v>
      </c>
      <c r="F5" s="3">
        <v>7.8715</v>
      </c>
      <c r="G5" s="3" t="inlineStr">
        <is>
          <t>Geosynthetic</t>
        </is>
      </c>
      <c r="H5" s="3" t="str">
        <f>IF($G5="","",IFERROR(VLOOKUP($G5,$AH$8:$AJ$11,2,0),""))</f>
        <v>Tangent</v>
      </c>
      <c r="I5" s="3" t="str">
        <f t="shared" si="1"/>
        <v>Active</v>
      </c>
      <c r="J5" s="3">
        <v>100.0</v>
      </c>
      <c r="K5" s="3">
        <v>0.0</v>
      </c>
      <c r="L5" s="3">
        <v>0.0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