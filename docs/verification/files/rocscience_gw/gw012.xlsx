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<sst xmlns="http://schemas.openxmlformats.org/spreadsheetml/2006/main" count="624" uniqueCount="329">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</sst>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 t="inlineStr">
        <is>
          <t>sec</t>
        </is>
      </c>
      <c r="F9" s="1" t="s">
        <v>12</v>
      </c>
      <c r="G9" t="s">
        <v>13</v>
      </c>
    </row>
    <row r="10" spans="1:7" x14ac:dyDescent="0.2">
      <c r="C10" s="14" t="s">
        <v>14</v>
      </c>
      <c r="D10" s="1">
        <v>9.81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Soil</t>
        </is>
      </c>
      <c r="C11" s="3">
        <v>20.0</v>
      </c>
      <c r="D11" s="3">
        <v>20.0</v>
      </c>
      <c r="E11" s="3" t="inlineStr">
        <is>
          <t>mc</t>
        </is>
      </c>
      <c r="F11" s="3">
        <v>1.0</v>
      </c>
      <c r="G11" s="3">
        <v>30.0</v>
      </c>
      <c r="H11" s="3">
        <v>0.0</v>
      </c>
      <c r="I11" s="3">
        <v>0.0</v>
      </c>
      <c r="J11" s="3">
        <v>0.0</v>
      </c>
      <c r="K11" s="3">
        <v>0.0</v>
      </c>
      <c r="L11" s="3"/>
      <c r="M11" s="3">
        <v>0.0</v>
      </c>
      <c r="N11" s="3">
        <v>0.0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1e-05</v>
      </c>
      <c r="AH11" s="3">
        <v>1e-05</v>
      </c>
      <c r="AI11" s="3">
        <v>0.0</v>
      </c>
      <c r="AJ11" s="3" t="inlineStr">
        <is>
          <t>lf</t>
        </is>
      </c>
      <c r="AK11" s="3">
        <v>0.001</v>
      </c>
      <c r="AL11" s="3">
        <v>-1.0</v>
      </c>
      <c r="AM11" s="3">
        <v>0.0</v>
      </c>
      <c r="AN11" s="3">
        <v>0.0</v>
      </c>
      <c r="AO11" s="3">
        <v>0.5</v>
      </c>
      <c r="AP11" s="3"/>
      <c r="AQ11" s="3"/>
    </row>
    <row r="12" spans="1:43" x14ac:dyDescent="0.2">
      <c r="A12" s="3">
        <v>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  <c r="AO12" s="19"/>
      <c r="AP12" s="19"/>
      <c r="AQ12" s="19"/>
    </row>
    <row r="13" spans="1:43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0.0</v>
      </c>
      <c r="D2" s="24" t="s">
        <v>146</v>
      </c>
      <c r="N2" s="24" t="s">
        <v>147</v>
      </c>
    </row>
    <row r="4" spans="1:44" x14ac:dyDescent="0.2">
      <c r="A4" s="55" t="inlineStr">
        <is>
          <t>Profile Line #1</t>
        </is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>
        <v>0.0</v>
      </c>
      <c r="B9" s="3">
        <v>40.0</v>
      </c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15.0</v>
      </c>
      <c r="B10" s="3">
        <v>40.0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25.0</v>
      </c>
      <c r="B11" s="3">
        <v>50.0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>
        <v>100.0</v>
      </c>
      <c r="B12" s="3">
        <v>50.0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B5" activeCellId="1" sqref="AR5 B5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s">
        <v>169</v>
      </c>
      <c r="B4" s="52"/>
      <c r="D4" s="55" t="s">
        <v>170</v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s">
        <v>185</v>
      </c>
      <c r="D5" s="38" t="s">
        <v>184</v>
      </c>
      <c r="E5" s="39" t="s">
        <v>185</v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32" si="0">IF($G3="","",IFERROR(VLOOKUP($G3,$AH$8:$AJ$11,2,0),""))</f>
        <v/>
      </c>
      <c r="I3" s="3" t="str">
        <f t="shared" ref="I3:I32" si="1">IF($G3="","",IFERROR(VLOOKUP($G3,$AH$8:$AJ$11,3,0),""))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 t="shared" si="0"/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 t="shared" si="0"/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 t="shared" si="0"/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 t="shared" si="0"/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 t="shared" si="0"/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 t="shared" si="0"/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 t="shared" si="0"/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 t="shared" si="0"/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 t="shared" si="0"/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 t="shared" si="0"/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Q17" sqref="Q17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8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8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8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8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8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8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8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8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8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8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8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8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inlineStr">
        <is>
          <t>head</t>
        </is>
      </c>
      <c r="F3" s="33">
        <v>50.0</v>
      </c>
      <c r="H3" s="32" t="inlineStr">
        <is>
          <t>head</t>
        </is>
      </c>
      <c r="I3" s="33">
        <v>0.0</v>
      </c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>
        <v>25.0</v>
      </c>
      <c r="C5" s="3">
        <v>50.0</v>
      </c>
      <c r="E5" s="3">
        <v>0.0</v>
      </c>
      <c r="F5" s="3">
        <v>40.0</v>
      </c>
      <c r="H5" s="3">
        <v>0.0</v>
      </c>
      <c r="I5" s="3">
        <v>0.0</v>
      </c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>
        <v>100.0</v>
      </c>
      <c r="C6" s="3">
        <v>50.0</v>
      </c>
      <c r="E6" s="3">
        <v>15.0</v>
      </c>
      <c r="F6" s="3">
        <v>40.0</v>
      </c>
      <c r="H6" s="3">
        <v>100.0</v>
      </c>
      <c r="I6" s="3">
        <v>0.0</v>
      </c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>
        <v>25.0</v>
      </c>
      <c r="F7" s="3">
        <v>50.0</v>
      </c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