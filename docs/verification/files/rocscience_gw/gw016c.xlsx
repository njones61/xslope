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.claude/worktrees/joints-r1/docs/inputs/"/>
    </mc:Choice>
  </mc:AlternateContent>
  <xr:revisionPtr revIDLastSave="0" documentId="13_ncr:1_{119A1861-00BF-3949-902B-66F34C8769AA}" xr6:coauthVersionLast="47" xr6:coauthVersionMax="47" xr10:uidLastSave="{00000000-0000-0000-0000-000000000000}"/>
  <bookViews>
    <workbookView xWindow="4280" yWindow="2000" windowWidth="40460" windowHeight="225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joints" sheetId="16" r:id="rId11"/>
    <sheet name="piles" sheetId="11" r:id="rId12"/>
    <sheet name="lloads" sheetId="12" r:id="rId13"/>
    <sheet name="seep bc" sheetId="13" r:id="rId14"/>
    <sheet name="seep bc (2)" sheetId="14" r:id="rId15"/>
    <sheet name="tseep" sheetId="15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<sst xmlns="http://schemas.openxmlformats.org/spreadsheetml/2006/main" count="624" uniqueCount="329">
  <si>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</si>
  <si>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</si>
  <si>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</si>
  <si>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</si>
  <si>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</si>
  <si>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</si>
  <si>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</si>
  <si>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</si>
  <si>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</si>
  <si>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</si>
  <si>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</si>
  <si>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</si>
  <si>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</si>
  <si>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</si>
  <si>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</si>
  <si>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</si>
  <si>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</si>
  <si>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</si>
  <si>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</si>
  <si>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</si>
  <si>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</si>
  <si>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</si>
  <si>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</si>
  <si>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</si>
  <si>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</si>
  <si>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</si>
  <si>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</si>
  <si>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</si>
  <si>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</si>
  <si>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</si>
  <si>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</si>
  <si>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</si>
  <si>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</si>
  <si>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</si>
  <si>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</si>
  <si>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</si>
  <si>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</si>
  <si>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</si>
  <si>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</si>
  <si>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</si>
  <si>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</si>
  <si>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</si>
  <si>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</si>
  <si>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</si>
  <si>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</si>
  <si>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</si>
  <si>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</si>
  <si>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</si>
  <si>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</si>
  <si>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</si>
  <si>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</si>
  <si>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</si>
  <si>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</si>
  <si>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</si>
  <si>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</si>
  <si>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</si>
  <si>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</si>
  <si>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</si>
  <si>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</si>
  <si>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</si>
  <si>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</si>
  <si>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</si>
  <si>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</si>
  <si>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</si>
  <si>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</si>
  <si>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</si>
  <si>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</si>
  <si>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</si>
  <si>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</si>
  <si>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</si>
  <si>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</si>
  <si>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</si>
  <si>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</si>
  <si>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</si>
  <si>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</si>
  <si>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</si>
  <si>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</si>
  <si>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</si>
  <si>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</si>
  <si>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</si>
  <si>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</si>
  <si>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</si>
  <si>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</si>
  <si>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</si>
  <si>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</si>
  <si>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</si>
  <si>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</si>
  <si>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</si>
  <si>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</si>
  <si>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</si>
  <si>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</si>
  <si>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</si>
  <si>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</si>
  <si>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</si>
  <si>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</si>
  <si>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</si>
  <si>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</si>
  <si>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</si>
  <si>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</si>
  <si>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</si>
  <si>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</si>
  <si>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</si>
  <si>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</si>
  <si>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</si>
  <si>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</si>
  <si>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</si>
  <si>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</si>
  <si>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</si>
  <si>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</si>
  <si>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</si>
  <si>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</si>
  <si>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</si>
  <si>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</si>
  <si>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</si>
  <si>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</si>
  <si>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</si>
  <si>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</si>
  <si>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</si>
  <si>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</si>
  <si>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</si>
  <si>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</si>
  <si>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</si>
  <si>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</si>
  <si>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</si>
  <si>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</si>
  <si>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</si>
  <si>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</si>
  <si>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</si>
  <si>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</si>
  <si>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</si>
  <si>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</si>
  <si>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</si>
  <si>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</si>
  <si>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</si>
  <si>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</si>
  <si>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</si>
  <si>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</si>
  <si>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</si>
  <si>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</si>
  <si>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</si>
  <si>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</si>
  <si>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</si>
  <si>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</si>
  <si>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</si>
  <si>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</si>
  <si>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</si>
  <si>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</si>
  <si>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</si>
  <si>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</si>
  <si>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</si>
  <si>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</si>
  <si>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</si>
  <si>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</si>
  <si>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</si>
  <si>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</si>
  <si>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</si>
  <si>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</si>
  <si>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</si>
  <si>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</si>
  <si>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</si>
  <si>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</si>
  <si>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</si>
  <si>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</si>
  <si>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</si>
  <si>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</si>
  <si>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</si>
  <si>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</si>
  <si>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</si>
  <si>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</si>
  <si>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</si>
  <si>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</si>
  <si>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</si>
  <si>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</si>
  <si>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</si>
  <si>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</si>
  <si>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</si>
  <si>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</si>
  <si>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</si>
  <si>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</si>
  <si>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</si>
  <si>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</si>
  <si>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</si>
  <si>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</si>
  <si>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</si>
  <si>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</si>
  <si>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</si>
  <si>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</si>
  <si>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</si>
  <si>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</si>
  <si>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</si>
  <si>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</si>
  <si>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</si>
  <si>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</si>
  <si>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</si>
  <si>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</si>
  <si>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</si>
  <si>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</si>
  <si>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</si>
  <si>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</si>
  <si>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</si>
  <si>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</si>
  <si>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</si>
  <si>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</si>
  <si>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</si>
  <si>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</si>
  <si>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</si>
  <si>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</si>
  <si>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</si>
  <si>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</si>
  <si>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</si>
  <si>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</si>
  <si>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</si>
  <si>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</si>
  <si>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</si>
  <si>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</si>
  <si>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</si>
  <si>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</si>
  <si>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</si>
  <si>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</si>
  <si>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</si>
  <si>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</si>
  <si>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</si>
  <si>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</si>
  <si>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</si>
  <si>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</si>
  <si>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</si>
  <si>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</si>
  <si>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</si>
  <si>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</si>
  <si>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</si>
  <si>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</si>
  <si>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</si>
  <si>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</si>
  <si>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</si>
  <si>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</si>
  <si>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</si>
  <si>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</si>
  <si>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</si>
  <si>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</si>
  <si>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</si>
  <si>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</si>
  <si>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</si>
  <si>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</si>
  <si>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</si>
  <si>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</si>
  <si>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</si>
  <si>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</si>
  <si>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</si>
  <si>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</si>
  <si>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</si>
  <si>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</si>
  <si>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</si>
  <si>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</si>
  <si>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</si>
  <si>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</si>
  <si>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</si>
  <si>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</si>
  <si>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</si>
  <si>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</si>
  <si>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</si>
  <si>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</si>
  <si>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</si>
  <si>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</si>
  <si>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</si>
  <si>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</si>
  <si>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</si>
  <si>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</si>
  <si>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</si>
  <si>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</si>
  <si>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</si>
  <si>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</si>
  <si>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</si>
  <si>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</si>
  <si>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</si>
  <si>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</si>
  <si>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</si>
  <si>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</si>
  <si>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</si>
  <si>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</si>
  <si>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</si>
  <si>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</si>
  <si>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</si>
  <si>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</si>
  <si>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</si>
  <si>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</si>
  <si>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</si>
  <si>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</si>
  <si>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</si>
  <si>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</si>
  <si>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</si>
  <si>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</si>
  <si>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</si>
  <si>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</si>
  <si>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</si>
  <si>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</si>
  <si>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</si>
  <si>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</si>
  <si>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</si>
  <si>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</si>
  <si>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</si>
  <si>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</si>
  <si>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</si>
  <si>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</si>
  <si>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</si>
  <si>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</si>
  <si>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</si>
  <si>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</si>
  <si>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</si>
  <si>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</si>
  <si>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</si>
  <si>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</si>
  <si>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</si>
  <si>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</si>
  <si>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</si>
  <si>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</si>
  <si>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</si>
  <si>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</si>
  <si>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</si>
  <si>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</si>
  <si>
    <t>Joint</t>
  </si>
  <si>
    <t>kn</t>
  </si>
  <si>
    <t>ks</t>
  </si>
  <si>
    <t>Jred</t>
  </si>
  <si>
    <t>phi</t>
  </si>
  <si>
    <t>joints</t>
  </si>
  <si>
    <t>Slip joints (interfaces with no reinforcement)</t>
  </si>
  <si>
    <t>c_res</t>
  </si>
  <si>
    <t>phi_res</t>
  </si>
  <si>
    <t>dil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</si>
</sst>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326571</xdr:colOff>
      <xdr:row>5</xdr:row>
      <xdr:rowOff>9073</xdr:rowOff>
    </xdr:from>
    <xdr:to>
      <xdr:col>29</xdr:col>
      <xdr:colOff>553357</xdr:colOff>
      <xdr:row>28</xdr:row>
      <xdr:rowOff>172358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9866428" y="1006930"/>
          <a:ext cx="3855358" cy="4753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soil-reinforcement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</a:t>
          </a:r>
        </a:p>
        <a:p>
          <a:r>
            <a:rPr lang="en-US" sz="1100" b="1"/>
            <a:t>Joint</a:t>
          </a:r>
          <a:r>
            <a:rPr lang="en-US" sz="1100" b="0"/>
            <a:t> = model as slip element; mesh splits along line</a:t>
          </a:r>
          <a:endParaRPr lang="en-US" sz="1100" b="0" baseline="0"/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308428</xdr:colOff>
      <xdr:row>2</xdr:row>
      <xdr:rowOff>172357</xdr:rowOff>
    </xdr:from>
    <xdr:to>
      <xdr:col>20</xdr:col>
      <xdr:colOff>381000</xdr:colOff>
      <xdr:row>12</xdr:row>
      <xdr:rowOff>172356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A6D3C4-0920-BE4C-AFB2-D27825A644F5}"/>
            </a:ext>
          </a:extLst>
        </xdr:cNvPr>
        <xdr:cNvSpPr txBox="1"/>
      </xdr:nvSpPr>
      <xdr:spPr>
        <a:xfrm>
          <a:off x="12237357" y="571500"/>
          <a:ext cx="3701143" cy="1995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joint line</a:t>
          </a:r>
          <a:endParaRPr lang="en-US" sz="1100" b="1"/>
        </a:p>
        <a:p>
          <a:r>
            <a:rPr lang="en-US" sz="1100" b="1"/>
            <a:t>c</a:t>
          </a:r>
          <a:r>
            <a:rPr lang="en-US" sz="1100" b="0" baseline="0"/>
            <a:t> = joint cohesion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</a:t>
          </a:r>
          <a:r>
            <a:rPr lang="en-US" sz="1100" b="0" baseline="0"/>
            <a:t> = joint friction angle, degrees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c_res</a:t>
          </a:r>
          <a:r>
            <a:rPr lang="en-US" sz="1100" b="0" baseline="0"/>
            <a:t> = residual joint cohesion (blank = same as c)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phi_res</a:t>
          </a:r>
          <a:r>
            <a:rPr lang="en-US" sz="1100" b="0" baseline="0"/>
            <a:t> = residual joint friction angle (blank = same as phi)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dil</a:t>
          </a:r>
          <a:r>
            <a:rPr lang="en-US" sz="1100" b="0" baseline="0"/>
            <a:t> = joint dilation angle, degrees (blank = 0)</a:t>
          </a:r>
        </a:p>
        <a:p>
          <a:r>
            <a:rPr lang="en-US" sz="1100" b="1" baseline="0"/>
            <a:t>t_cut</a:t>
          </a:r>
          <a:r>
            <a:rPr lang="en-US" sz="1100" b="0" baseline="0"/>
            <a:t> = tension cutoff (blank = 0)</a:t>
          </a:r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27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/>
      <c r="F8" s="1" t="s">
        <v>8</v>
      </c>
      <c r="G8" t="s">
        <v>9</v>
      </c>
    </row>
    <row r="9" spans="1:7" x14ac:dyDescent="0.2">
      <c r="C9" s="14" t="s">
        <v>10</v>
      </c>
      <c r="D9" s="1" t="inlineStr">
        <is>
          <t>sec</t>
        </is>
      </c>
      <c r="F9" s="1" t="s">
        <v>12</v>
      </c>
      <c r="G9" t="s">
        <v>13</v>
      </c>
    </row>
    <row r="10" spans="1:7" x14ac:dyDescent="0.2">
      <c r="C10" s="14" t="s">
        <v>14</v>
      </c>
      <c r="D10" s="1">
        <v>1.0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324</v>
      </c>
      <c r="G17" s="9" t="s">
        <v>325</v>
      </c>
    </row>
    <row r="18" spans="2:7" x14ac:dyDescent="0.2">
      <c r="C18" s="14" t="s">
        <v>39</v>
      </c>
      <c r="F18" s="1" t="s">
        <v>37</v>
      </c>
      <c r="G18" t="s">
        <v>38</v>
      </c>
      <c r="D18"/>
    </row>
    <row r="19" spans="2:7" x14ac:dyDescent="0.2">
      <c r="C19" s="14" t="s">
        <v>42</v>
      </c>
      <c r="F19" s="1" t="s">
        <v>40</v>
      </c>
      <c r="G19" t="s">
        <v>41</v>
      </c>
      <c r="D19"/>
    </row>
    <row r="20" spans="2:7" x14ac:dyDescent="0.2">
      <c r="C20" s="14" t="s">
        <v>312</v>
      </c>
      <c r="F20" s="1" t="s">
        <v>43</v>
      </c>
      <c r="G20" s="9" t="s">
        <v>44</v>
      </c>
      <c r="D20"/>
    </row>
    <row r="21" spans="2:7" x14ac:dyDescent="0.2">
      <c r="C21" s="14" t="s">
        <v>45</v>
      </c>
      <c r="F21" s="1" t="s">
        <v>46</v>
      </c>
      <c r="G21" s="9" t="s">
        <v>47</v>
      </c>
      <c r="D21"/>
    </row>
    <row r="22" spans="2:7" x14ac:dyDescent="0.2">
      <c r="C22" s="14" t="s">
        <v>48</v>
      </c>
      <c r="F22" s="1" t="s">
        <v>49</v>
      </c>
      <c r="G22" t="s">
        <v>50</v>
      </c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Soil A</t>
        </is>
      </c>
      <c r="C11" s="3">
        <v>20.0</v>
      </c>
      <c r="D11" s="3">
        <v>20.0</v>
      </c>
      <c r="E11" s="3" t="inlineStr">
        <is>
          <t>mc</t>
        </is>
      </c>
      <c r="F11" s="3">
        <v>1.0</v>
      </c>
      <c r="G11" s="3">
        <v>30.0</v>
      </c>
      <c r="H11" s="3">
        <v>0.0</v>
      </c>
      <c r="I11" s="3">
        <v>0.0</v>
      </c>
      <c r="J11" s="3">
        <v>0.0</v>
      </c>
      <c r="K11" s="3">
        <v>0.0</v>
      </c>
      <c r="L11" s="3"/>
      <c r="M11" s="3">
        <v>0.0</v>
      </c>
      <c r="N11" s="3">
        <v>0.0</v>
      </c>
      <c r="O11" s="3" t="inlineStr">
        <is>
          <t>seep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1.0</v>
      </c>
      <c r="AH11" s="3">
        <v>1.0</v>
      </c>
      <c r="AI11" s="3">
        <v>0.0</v>
      </c>
      <c r="AJ11" s="3" t="inlineStr">
        <is>
          <t>lf</t>
        </is>
      </c>
      <c r="AK11" s="3">
        <v>0.001</v>
      </c>
      <c r="AL11" s="3">
        <v>-0.4</v>
      </c>
      <c r="AM11" s="3">
        <v>0.0</v>
      </c>
      <c r="AN11" s="3">
        <v>0.0</v>
      </c>
      <c r="AO11" s="3">
        <v>0.5</v>
      </c>
      <c r="AP11" s="3">
        <v>1.0</v>
      </c>
      <c r="AQ11" s="3">
        <v>0.1</v>
      </c>
    </row>
    <row r="12" spans="1:43" x14ac:dyDescent="0.2">
      <c r="A12" s="3">
        <v>2</v>
      </c>
      <c r="B12" s="3" t="inlineStr">
        <is>
          <t>Soil B</t>
        </is>
      </c>
      <c r="C12" s="3">
        <v>20.0</v>
      </c>
      <c r="D12" s="3">
        <v>20.0</v>
      </c>
      <c r="E12" s="3" t="inlineStr">
        <is>
          <t>mc</t>
        </is>
      </c>
      <c r="F12" s="3">
        <v>1.0</v>
      </c>
      <c r="G12" s="3">
        <v>30.0</v>
      </c>
      <c r="H12" s="3">
        <v>0.0</v>
      </c>
      <c r="I12" s="3">
        <v>0.0</v>
      </c>
      <c r="J12" s="3">
        <v>0.0</v>
      </c>
      <c r="K12" s="3">
        <v>0.0</v>
      </c>
      <c r="L12" s="3"/>
      <c r="M12" s="3">
        <v>0.0</v>
      </c>
      <c r="N12" s="3">
        <v>0.0</v>
      </c>
      <c r="O12" s="3" t="inlineStr">
        <is>
          <t>seep</t>
        </is>
      </c>
      <c r="P12" s="3">
        <v>0.0</v>
      </c>
      <c r="Q12" s="3"/>
      <c r="R12" s="3"/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3">
        <v>0.0</v>
      </c>
      <c r="AD12" s="3">
        <v>0.0</v>
      </c>
      <c r="AE12" s="3">
        <v>0.0</v>
      </c>
      <c r="AF12" s="3">
        <v>0.0</v>
      </c>
      <c r="AG12" s="3">
        <v>10.0</v>
      </c>
      <c r="AH12" s="3">
        <v>10.0</v>
      </c>
      <c r="AI12" s="3">
        <v>0.0</v>
      </c>
      <c r="AJ12" s="3" t="inlineStr">
        <is>
          <t>lf</t>
        </is>
      </c>
      <c r="AK12" s="3">
        <v>0.001</v>
      </c>
      <c r="AL12" s="3">
        <v>-0.4</v>
      </c>
      <c r="AM12" s="18">
        <v>0.0</v>
      </c>
      <c r="AN12" s="19">
        <v>0.0</v>
      </c>
      <c r="AO12" s="19">
        <v>0.5</v>
      </c>
      <c r="AP12" s="19">
        <v>10.0</v>
      </c>
      <c r="AQ12" s="19">
        <v>0.1</v>
      </c>
    </row>
    <row r="13" spans="1:43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  <c r="AQ13" s="19"/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6" priority="6">
      <formula>$E11="hb"</formula>
    </cfRule>
    <cfRule type="expression" dxfId="35" priority="7">
      <formula>$E11="pow"</formula>
    </cfRule>
  </conditionalFormatting>
  <conditionalFormatting sqref="F11:L52 O11:R52">
    <cfRule type="expression" dxfId="34" priority="19">
      <formula>$E11="elastic"</formula>
    </cfRule>
  </conditionalFormatting>
  <conditionalFormatting sqref="G11:G52">
    <cfRule type="expression" dxfId="33" priority="8">
      <formula>$E11="cp"</formula>
    </cfRule>
  </conditionalFormatting>
  <conditionalFormatting sqref="H11:I52">
    <cfRule type="expression" dxfId="32" priority="9">
      <formula>$E11="mc"</formula>
    </cfRule>
  </conditionalFormatting>
  <conditionalFormatting sqref="J11:K52">
    <cfRule type="expression" dxfId="31" priority="10">
      <formula>$E11="cp"</formula>
    </cfRule>
  </conditionalFormatting>
  <conditionalFormatting sqref="P11:P52">
    <cfRule type="expression" dxfId="30" priority="13">
      <formula>AND($O11&lt;&gt;"",$O11&lt;&gt;"ru")</formula>
    </cfRule>
  </conditionalFormatting>
  <conditionalFormatting sqref="Q11:R52">
    <cfRule type="expression" dxfId="29" priority="23">
      <formula>$E11="cp"</formula>
    </cfRule>
    <cfRule type="expression" dxfId="28" priority="24">
      <formula>AND($O11&lt;&gt;"",$O11&lt;&gt;"piezo",$O11&lt;&gt;"seep")</formula>
    </cfRule>
  </conditionalFormatting>
  <conditionalFormatting sqref="S11:V52">
    <cfRule type="expression" dxfId="27" priority="11">
      <formula>AND($E11&lt;&gt;"",$E11&lt;&gt;"pow")</formula>
    </cfRule>
  </conditionalFormatting>
  <conditionalFormatting sqref="W11:Z52">
    <cfRule type="expression" dxfId="26" priority="12">
      <formula>AND($E11&lt;&gt;"",$E11&lt;&gt;"hb")</formula>
    </cfRule>
  </conditionalFormatting>
  <conditionalFormatting sqref="AB11:AF52">
    <cfRule type="expression" dxfId="25" priority="21">
      <formula>$E11="elastic"</formula>
    </cfRule>
  </conditionalFormatting>
  <conditionalFormatting sqref="AC11:AC52">
    <cfRule type="expression" dxfId="24" priority="14">
      <formula>$E11="cp"</formula>
    </cfRule>
  </conditionalFormatting>
  <conditionalFormatting sqref="AD11:AD52">
    <cfRule type="expression" dxfId="23" priority="15">
      <formula>$E11="mc"</formula>
    </cfRule>
  </conditionalFormatting>
  <conditionalFormatting sqref="AE11:AF52">
    <cfRule type="expression" dxfId="22" priority="16">
      <formula>$E11="cp"</formula>
    </cfRule>
  </conditionalFormatting>
  <conditionalFormatting sqref="AK11:AL52">
    <cfRule type="expression" dxfId="21" priority="17">
      <formula>OR($AJ11="vg",$AJ11="gard")</formula>
    </cfRule>
  </conditionalFormatting>
  <conditionalFormatting sqref="AM11:AO52">
    <cfRule type="expression" dxfId="20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/>
      <c r="D2" s="24" t="s">
        <v>146</v>
      </c>
      <c r="N2" s="24" t="s">
        <v>147</v>
      </c>
    </row>
    <row r="4" spans="1:44" x14ac:dyDescent="0.2">
      <c r="A4" s="55" t="s">
        <v>148</v>
      </c>
      <c r="B4" s="52"/>
      <c r="D4" s="55" t="s">
        <v>149</v>
      </c>
      <c r="E4" s="52"/>
      <c r="G4" s="55" t="s">
        <v>150</v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inlineStr">
        <is>
          <t>Polygon #1</t>
        </is>
      </c>
      <c r="B4" s="52"/>
      <c r="D4" s="55" t="inlineStr">
        <is>
          <t>Polygon #2</t>
        </is>
      </c>
      <c r="E4" s="52"/>
      <c r="G4" s="55" t="s">
        <v>171</v>
      </c>
      <c r="H4" s="52"/>
      <c r="J4" s="55" t="s">
        <v>172</v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inlineStr">
        <is>
          <t>material</t>
        </is>
      </c>
      <c r="D5" s="38" t="s">
        <v>184</v>
      </c>
      <c r="E5" s="39" t="inlineStr">
        <is>
          <t>material</t>
        </is>
      </c>
      <c r="G5" s="38" t="s">
        <v>184</v>
      </c>
      <c r="H5" s="39" t="s">
        <v>185</v>
      </c>
      <c r="J5" s="38" t="s">
        <v>184</v>
      </c>
      <c r="K5" s="39" t="s">
        <v>185</v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4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>
        <v>0.0</v>
      </c>
      <c r="B10" s="3">
        <v>0.0</v>
      </c>
      <c r="D10" s="3">
        <v>0.0</v>
      </c>
      <c r="E10" s="3">
        <v>0.5</v>
      </c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>
        <v>0.5</v>
      </c>
      <c r="B11" s="3">
        <v>0.0</v>
      </c>
      <c r="D11" s="3">
        <v>0.5</v>
      </c>
      <c r="E11" s="3">
        <v>0.5</v>
      </c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>
        <v>0.5</v>
      </c>
      <c r="B12" s="3">
        <v>0.5</v>
      </c>
      <c r="D12" s="3">
        <v>0.5</v>
      </c>
      <c r="E12" s="3">
        <v>1.0</v>
      </c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>
        <v>0.0</v>
      </c>
      <c r="B13" s="3">
        <v>0.5</v>
      </c>
      <c r="D13" s="3">
        <v>0.0</v>
      </c>
      <c r="E13" s="3">
        <v>1.0</v>
      </c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9" priority="1">
      <formula>AND($B$5&lt;&gt;"",$B$5&lt;&gt;"material")</formula>
    </cfRule>
  </conditionalFormatting>
  <conditionalFormatting sqref="E6 D7:E7">
    <cfRule type="expression" dxfId="18" priority="2">
      <formula>AND($E$5&lt;&gt;"",$E$5&lt;&gt;"material")</formula>
    </cfRule>
  </conditionalFormatting>
  <conditionalFormatting sqref="H6 G7:H7">
    <cfRule type="expression" dxfId="17" priority="3">
      <formula>AND($H$5&lt;&gt;"",$H$5&lt;&gt;"material")</formula>
    </cfRule>
  </conditionalFormatting>
  <conditionalFormatting sqref="K6 J7:K7">
    <cfRule type="expression" dxfId="16" priority="4">
      <formula>AND($K$5&lt;&gt;"",$K$5&lt;&gt;"material")</formula>
    </cfRule>
  </conditionalFormatting>
  <conditionalFormatting sqref="N6 M7:N7">
    <cfRule type="expression" dxfId="15" priority="5">
      <formula>AND($N$5&lt;&gt;"",$N$5&lt;&gt;"material")</formula>
    </cfRule>
  </conditionalFormatting>
  <conditionalFormatting sqref="Q6 P7:Q7">
    <cfRule type="expression" dxfId="14" priority="6">
      <formula>AND($Q$5&lt;&gt;"",$Q$5&lt;&gt;"material")</formula>
    </cfRule>
  </conditionalFormatting>
  <conditionalFormatting sqref="T6 S7:T7">
    <cfRule type="expression" dxfId="13" priority="7">
      <formula>AND($T$5&lt;&gt;"",$T$5&lt;&gt;"material")</formula>
    </cfRule>
  </conditionalFormatting>
  <conditionalFormatting sqref="W6 V7:W7">
    <cfRule type="expression" dxfId="12" priority="8">
      <formula>AND($W$5&lt;&gt;"",$W$5&lt;&gt;"material")</formula>
    </cfRule>
  </conditionalFormatting>
  <conditionalFormatting sqref="Z6 Y7:Z7">
    <cfRule type="expression" dxfId="11" priority="9">
      <formula>AND($Z$5&lt;&gt;"",$Z$5&lt;&gt;"material")</formula>
    </cfRule>
  </conditionalFormatting>
  <conditionalFormatting sqref="AC6 AB7:AC7">
    <cfRule type="expression" dxfId="10" priority="10">
      <formula>AND($AC$5&lt;&gt;"",$AC$5&lt;&gt;"material")</formula>
    </cfRule>
  </conditionalFormatting>
  <conditionalFormatting sqref="AF6 AE7:AF7">
    <cfRule type="expression" dxfId="9" priority="11">
      <formula>AND($AF$5&lt;&gt;"",$AF$5&lt;&gt;"material")</formula>
    </cfRule>
  </conditionalFormatting>
  <conditionalFormatting sqref="AI6 AH7:AI7">
    <cfRule type="expression" dxfId="8" priority="12">
      <formula>AND($AI$5&lt;&gt;"",$AI$5&lt;&gt;"material")</formula>
    </cfRule>
  </conditionalFormatting>
  <conditionalFormatting sqref="AL6 AK7:AL7">
    <cfRule type="expression" dxfId="7" priority="13">
      <formula>AND($AL$5&lt;&gt;"",$AL$5&lt;&gt;"material")</formula>
    </cfRule>
  </conditionalFormatting>
  <conditionalFormatting sqref="AO6 AN7:AO7">
    <cfRule type="expression" dxfId="6" priority="14">
      <formula>AND($AO$5&lt;&gt;"",$AO$5&lt;&gt;"material")</formula>
    </cfRule>
  </conditionalFormatting>
  <conditionalFormatting sqref="AR6 AQ7:AR7">
    <cfRule type="expression" dxfId="5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2C58C22E-BB25-6145-9297-FDBC71F3461D}">
      <formula1>"material,ssr reduce,ssr hold,ssr elastic,refine,joints"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190</v>
      </c>
    </row>
    <row r="6" spans="1:8" x14ac:dyDescent="0.2">
      <c r="A6" s="3"/>
      <c r="B6" s="3"/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J32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4" width="10.83203125" style="1" customWidth="1"/>
    <col min="25" max="25" width="4.33203125" customWidth="1"/>
  </cols>
  <sheetData>
    <row r="2" spans="1:36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U2" s="28" t="s">
        <v>319</v>
      </c>
      <c r="V2" s="28" t="s">
        <v>320</v>
      </c>
      <c r="W2" s="28" t="s">
        <v>321</v>
      </c>
      <c r="X2" s="28" t="s">
        <v>322</v>
      </c>
      <c r="Z2" s="42"/>
      <c r="AA2" t="s">
        <v>91</v>
      </c>
      <c r="AH2" t="s">
        <v>257</v>
      </c>
      <c r="AI2" t="s">
        <v>258</v>
      </c>
      <c r="AJ2" t="s">
        <v>259</v>
      </c>
    </row>
    <row r="3" spans="1:36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32" si="0">IF($G3="","",IFERROR(VLOOKUP($G3,$AH$8:$AJ$11,2,0),""))</f>
        <v/>
      </c>
      <c r="I3" s="3" t="str">
        <f t="shared" ref="I3:I32" si="1">IF($G3="","",IFERROR(VLOOKUP($G3,$AH$8:$AJ$11,3,0),""))</f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Z3" s="26"/>
      <c r="AA3" s="9" t="s">
        <v>96</v>
      </c>
      <c r="AH3" t="s">
        <v>260</v>
      </c>
      <c r="AI3" t="s">
        <v>261</v>
      </c>
      <c r="AJ3" t="s">
        <v>262</v>
      </c>
    </row>
    <row r="4" spans="1:36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Z4" s="29"/>
      <c r="AA4" s="9" t="s">
        <v>103</v>
      </c>
      <c r="AH4" t="s">
        <v>263</v>
      </c>
    </row>
    <row r="5" spans="1:36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AH5" t="s">
        <v>264</v>
      </c>
    </row>
    <row r="6" spans="1:36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36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36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AH8" t="s">
        <v>257</v>
      </c>
      <c r="AI8" t="s">
        <v>258</v>
      </c>
      <c r="AJ8" t="s">
        <v>259</v>
      </c>
    </row>
    <row r="9" spans="1:36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AH9" t="s">
        <v>260</v>
      </c>
      <c r="AI9" t="s">
        <v>261</v>
      </c>
      <c r="AJ9" t="s">
        <v>262</v>
      </c>
    </row>
    <row r="10" spans="1:36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AH10" t="s">
        <v>263</v>
      </c>
      <c r="AI10" t="s">
        <v>261</v>
      </c>
      <c r="AJ10" t="s">
        <v>259</v>
      </c>
    </row>
    <row r="11" spans="1:36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AH11" t="s">
        <v>264</v>
      </c>
      <c r="AI11" t="s">
        <v>261</v>
      </c>
      <c r="AJ11" t="s">
        <v>259</v>
      </c>
    </row>
    <row r="12" spans="1:36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36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36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36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36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21</v>
      </c>
      <c r="B23" s="3"/>
      <c r="C23" s="3"/>
      <c r="D23" s="3"/>
      <c r="E23" s="3"/>
      <c r="F23" s="3"/>
      <c r="G23" s="3"/>
      <c r="H23" s="3" t="str">
        <f t="shared" si="0"/>
        <v/>
      </c>
      <c r="I23" s="3" t="str">
        <f t="shared" si="1"/>
        <v/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A24" s="3">
        <v>22</v>
      </c>
      <c r="B24" s="3"/>
      <c r="C24" s="3"/>
      <c r="D24" s="3"/>
      <c r="E24" s="3"/>
      <c r="F24" s="3"/>
      <c r="G24" s="3"/>
      <c r="H24" s="3" t="str">
        <f t="shared" si="0"/>
        <v/>
      </c>
      <c r="I24" s="3" t="str">
        <f t="shared" si="1"/>
        <v/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">
      <c r="A25" s="3">
        <v>23</v>
      </c>
      <c r="B25" s="3"/>
      <c r="C25" s="3"/>
      <c r="D25" s="3"/>
      <c r="E25" s="3"/>
      <c r="F25" s="3"/>
      <c r="G25" s="3"/>
      <c r="H25" s="3" t="str">
        <f t="shared" si="0"/>
        <v/>
      </c>
      <c r="I25" s="3" t="str">
        <f t="shared" si="1"/>
        <v/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">
      <c r="A26" s="3">
        <v>24</v>
      </c>
      <c r="B26" s="3"/>
      <c r="C26" s="3"/>
      <c r="D26" s="3"/>
      <c r="E26" s="3"/>
      <c r="F26" s="3"/>
      <c r="G26" s="3"/>
      <c r="H26" s="3" t="str">
        <f t="shared" si="0"/>
        <v/>
      </c>
      <c r="I26" s="3" t="str">
        <f t="shared" si="1"/>
        <v/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">
      <c r="A27" s="3">
        <v>25</v>
      </c>
      <c r="B27" s="3"/>
      <c r="C27" s="3"/>
      <c r="D27" s="3"/>
      <c r="E27" s="3"/>
      <c r="F27" s="3"/>
      <c r="G27" s="3"/>
      <c r="H27" s="3" t="str">
        <f t="shared" si="0"/>
        <v/>
      </c>
      <c r="I27" s="3" t="str">
        <f t="shared" si="1"/>
        <v/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">
      <c r="A28" s="3">
        <v>26</v>
      </c>
      <c r="B28" s="3"/>
      <c r="C28" s="3"/>
      <c r="D28" s="3"/>
      <c r="E28" s="3"/>
      <c r="F28" s="3"/>
      <c r="G28" s="3"/>
      <c r="H28" s="3" t="str">
        <f t="shared" si="0"/>
        <v/>
      </c>
      <c r="I28" s="3" t="str">
        <f t="shared" si="1"/>
        <v/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">
      <c r="A29" s="3">
        <v>27</v>
      </c>
      <c r="B29" s="3"/>
      <c r="C29" s="3"/>
      <c r="D29" s="3"/>
      <c r="E29" s="3"/>
      <c r="F29" s="3"/>
      <c r="G29" s="3"/>
      <c r="H29" s="3" t="str">
        <f t="shared" si="0"/>
        <v/>
      </c>
      <c r="I29" s="3" t="str">
        <f t="shared" si="1"/>
        <v/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">
      <c r="A30" s="3">
        <v>28</v>
      </c>
      <c r="B30" s="3"/>
      <c r="C30" s="3"/>
      <c r="D30" s="3"/>
      <c r="E30" s="3"/>
      <c r="F30" s="3"/>
      <c r="G30" s="3"/>
      <c r="H30" s="3" t="str">
        <f t="shared" si="0"/>
        <v/>
      </c>
      <c r="I30" s="3" t="str">
        <f t="shared" si="1"/>
        <v/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">
      <c r="A31" s="3">
        <v>29</v>
      </c>
      <c r="B31" s="3"/>
      <c r="C31" s="3"/>
      <c r="D31" s="3"/>
      <c r="E31" s="3"/>
      <c r="F31" s="3"/>
      <c r="G31" s="3"/>
      <c r="H31" s="3" t="str">
        <f t="shared" si="0"/>
        <v/>
      </c>
      <c r="I31" s="3" t="str">
        <f t="shared" si="1"/>
        <v/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">
      <c r="A32" s="3">
        <v>30</v>
      </c>
      <c r="B32" s="3"/>
      <c r="C32" s="3"/>
      <c r="D32" s="3"/>
      <c r="E32" s="3"/>
      <c r="F32" s="3"/>
      <c r="G32" s="3"/>
      <c r="H32" s="3" t="str">
        <f t="shared" si="0"/>
        <v/>
      </c>
      <c r="I32" s="3" t="str">
        <f t="shared" si="1"/>
        <v/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conditionalFormatting sqref="K3:L32">
    <cfRule type="expression" dxfId="1" priority="1">
      <formula>$U3="Yes"</formula>
    </cfRule>
  </conditionalFormatting>
  <conditionalFormatting sqref="V3:X32">
    <cfRule type="expression" dxfId="0" priority="4">
      <formula>$U3&lt;&gt;"Yes"</formula>
    </cfRule>
  </conditionalFormatting>
  <dataValidations count="4">
    <dataValidation type="list" allowBlank="1" showInputMessage="1" showErrorMessage="1" sqref="G3:G32" xr:uid="{00000000-0002-0000-0900-000000000000}">
      <formula1>$AH$2:$AH$5</formula1>
    </dataValidation>
    <dataValidation type="list" allowBlank="1" showInputMessage="1" showErrorMessage="1" sqref="H3:H32" xr:uid="{00000000-0002-0000-0900-000001000000}">
      <formula1>$AI$2:$AI$3</formula1>
    </dataValidation>
    <dataValidation type="list" allowBlank="1" showInputMessage="1" showErrorMessage="1" sqref="I3:I32" xr:uid="{00000000-0002-0000-0900-000002000000}">
      <formula1>$AJ$2:$AJ$3</formula1>
    </dataValidation>
    <dataValidation type="list" allowBlank="1" showInputMessage="1" showErrorMessage="1" sqref="U3:U32 X3:X32" xr:uid="{8FB27197-C456-2D4D-8100-E78D5059F972}">
      <formula1>"Yes,No"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6759-96FB-7F49-B49A-BD8077ECE53B}">
  <dimension ref="A2:R52"/>
  <sheetViews>
    <sheetView showGridLines="0" zoomScale="140" zoomScaleNormal="140" workbookViewId="0">
      <selection activeCell="Q17" sqref="Q17"/>
    </sheetView>
  </sheetViews>
  <sheetFormatPr baseColWidth="10" defaultRowHeight="16" x14ac:dyDescent="0.2"/>
  <cols>
    <col min="1" max="1" width="4.83203125" style="1" customWidth="1"/>
    <col min="2" max="15" width="10.83203125" style="1" customWidth="1"/>
    <col min="16" max="16" width="4.33203125" customWidth="1"/>
  </cols>
  <sheetData>
    <row r="2" spans="1:18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28" t="s">
        <v>114</v>
      </c>
      <c r="H2" s="28" t="s">
        <v>323</v>
      </c>
      <c r="I2" s="28" t="s">
        <v>326</v>
      </c>
      <c r="J2" s="28" t="s">
        <v>327</v>
      </c>
      <c r="K2" s="28" t="s">
        <v>328</v>
      </c>
      <c r="L2" s="28" t="s">
        <v>120</v>
      </c>
      <c r="M2" s="28" t="s">
        <v>320</v>
      </c>
      <c r="N2" s="28" t="s">
        <v>321</v>
      </c>
      <c r="O2" s="28" t="s">
        <v>322</v>
      </c>
      <c r="Q2" s="29"/>
      <c r="R2" s="9" t="s">
        <v>103</v>
      </c>
    </row>
    <row r="3" spans="1:18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8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8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8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8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8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8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8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8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8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8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8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8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8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">
      <c r="A23" s="3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">
      <c r="A24" s="3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">
      <c r="A25" s="3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">
      <c r="A26" s="3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x14ac:dyDescent="0.2">
      <c r="A27" s="3">
        <v>25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x14ac:dyDescent="0.2">
      <c r="A28" s="3">
        <v>26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x14ac:dyDescent="0.2">
      <c r="A29" s="3">
        <v>27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x14ac:dyDescent="0.2">
      <c r="A30" s="3">
        <v>28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x14ac:dyDescent="0.2">
      <c r="A31" s="3">
        <v>29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x14ac:dyDescent="0.2">
      <c r="A32" s="3">
        <v>30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x14ac:dyDescent="0.2">
      <c r="A33" s="3">
        <v>31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x14ac:dyDescent="0.2">
      <c r="A34" s="3">
        <v>32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2">
      <c r="A35" s="3">
        <v>33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">
      <c r="A36" s="3">
        <v>34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">
      <c r="A37" s="3">
        <v>35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">
      <c r="A38" s="3">
        <v>36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">
      <c r="A39" s="3">
        <v>37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">
      <c r="A40" s="3">
        <v>38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">
      <c r="A41" s="3">
        <v>39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x14ac:dyDescent="0.2">
      <c r="A42" s="3">
        <v>40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x14ac:dyDescent="0.2">
      <c r="A43" s="3">
        <v>41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x14ac:dyDescent="0.2">
      <c r="A44" s="3">
        <v>42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x14ac:dyDescent="0.2">
      <c r="A45" s="3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x14ac:dyDescent="0.2">
      <c r="A46" s="3">
        <v>44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x14ac:dyDescent="0.2">
      <c r="A47" s="3">
        <v>45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x14ac:dyDescent="0.2">
      <c r="A48" s="3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x14ac:dyDescent="0.2">
      <c r="A49" s="3">
        <v>47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x14ac:dyDescent="0.2">
      <c r="A50" s="3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x14ac:dyDescent="0.2">
      <c r="A51" s="3">
        <v>49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x14ac:dyDescent="0.2">
      <c r="A52" s="3">
        <v>50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</sheetData>
  <dataValidations count="1">
    <dataValidation type="list" allowBlank="1" showInputMessage="1" showErrorMessage="1" sqref="O3:O52" xr:uid="{D1121F3C-F660-0E46-8AEB-8C1F95C55489}">
      <formula1>"Yes,No"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inlineStr">
        <is>
          <t>head</t>
        </is>
      </c>
      <c r="F3" s="33" t="inlineStr">
        <is>
          <t>res</t>
        </is>
      </c>
      <c r="H3" s="32" t="s">
        <v>279</v>
      </c>
      <c r="I3" s="33"/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>
        <v>0.0</v>
      </c>
      <c r="F5" s="3">
        <v>1.0</v>
      </c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>
        <v>0.5</v>
      </c>
      <c r="F6" s="3">
        <v>1.0</v>
      </c>
      <c r="H6" s="3"/>
      <c r="I6" s="3"/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inlineStr">
        <is>
          <t>time</t>
        </is>
      </c>
      <c r="C2" s="50" t="inlineStr">
        <is>
          <t>res</t>
        </is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>
        <v>0.0</v>
      </c>
      <c r="C3" s="3">
        <v>1100.0</v>
      </c>
      <c r="D3" s="3"/>
      <c r="E3" s="3"/>
      <c r="F3" s="3"/>
      <c r="G3" s="3"/>
      <c r="I3" s="14" t="s">
        <v>297</v>
      </c>
      <c r="J3" s="3">
        <v>0.5005</v>
      </c>
    </row>
    <row r="4" spans="2:10" x14ac:dyDescent="0.2">
      <c r="B4" s="3">
        <v>0.0</v>
      </c>
      <c r="C4" s="3">
        <v>100.0</v>
      </c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inlineStr">
        <is>
          <t>save_times</t>
        </is>
      </c>
    </row>
    <row r="12" spans="2:10" x14ac:dyDescent="0.2">
      <c r="B12" s="3"/>
      <c r="C12" s="3"/>
      <c r="D12" s="3"/>
      <c r="E12" s="3"/>
      <c r="F12" s="3"/>
      <c r="G12" s="3"/>
      <c r="J12" s="4">
        <v>0.05</v>
      </c>
    </row>
    <row r="13" spans="2:10" x14ac:dyDescent="0.2">
      <c r="B13" s="3"/>
      <c r="C13" s="3"/>
      <c r="D13" s="3"/>
      <c r="E13" s="3"/>
      <c r="F13" s="3"/>
      <c r="G13" s="3"/>
      <c r="J13" s="4">
        <v>0.2</v>
      </c>
    </row>
    <row r="14" spans="2:10" x14ac:dyDescent="0.2">
      <c r="B14" s="3"/>
      <c r="C14" s="3"/>
      <c r="D14" s="3"/>
      <c r="E14" s="3"/>
      <c r="F14" s="3"/>
      <c r="G14" s="3"/>
      <c r="J14" s="4">
        <v>0.5</v>
      </c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joints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2026-09-11T19:55:30Z</dcterms:modified>
</cp:coreProperties>
</file>