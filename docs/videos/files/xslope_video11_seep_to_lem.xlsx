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E12967D2-A998-D342-B5ED-43CABE326A3A}" xr6:coauthVersionLast="47" xr6:coauthVersionMax="47" xr10:uidLastSave="{00000000-0000-0000-0000-000000000000}"/>
  <bookViews>
    <workbookView xWindow="15680" yWindow="4780" windowWidth="4694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<sst xmlns="http://schemas.openxmlformats.org/spreadsheetml/2006/main" count="602" uniqueCount="319">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</sst>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217714</xdr:colOff>
      <xdr:row>1</xdr:row>
      <xdr:rowOff>54430</xdr:rowOff>
    </xdr:from>
    <xdr:to>
      <xdr:col>25</xdr:col>
      <xdr:colOff>444500</xdr:colOff>
      <xdr:row>21</xdr:row>
      <xdr:rowOff>90714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6455571" y="254001"/>
          <a:ext cx="3855358" cy="4027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soii-reinforcement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26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312</v>
      </c>
      <c r="F20" s="1" t="s">
        <v>46</v>
      </c>
      <c r="G20" s="9" t="s">
        <v>47</v>
      </c>
      <c r="D20"/>
    </row>
    <row r="21" spans="2:7" x14ac:dyDescent="0.2">
      <c r="C21" s="14" t="s">
        <v>45</v>
      </c>
      <c r="F21" s="1" t="s">
        <v>49</v>
      </c>
      <c r="G21" t="s">
        <v>50</v>
      </c>
      <c r="D21"/>
    </row>
    <row r="22" spans="2:7" x14ac:dyDescent="0.2">
      <c r="C22" s="14" t="s">
        <v>48</v>
      </c>
      <c r="F22" s="1"/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>
        <v>135.0</v>
      </c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>
        <v>130.0</v>
      </c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200000.0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>
        <v>132.0</v>
      </c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1000000.0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O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>shell</v>
      </c>
      <c r="B6" s="57"/>
      <c r="D6" s="56" t="str">
        <f>_xlfn.XLOOKUP(E5,mat!$A:$A, mat!$B:$B,"") &amp; ""</f>
        <v>core</v>
      </c>
      <c r="E6" s="57"/>
      <c r="G6" s="56" t="str">
        <f>_xlfn.XLOOKUP(H5,mat!$A:$A, mat!$B:$B,"") &amp; ""</f>
        <v>foundation</v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>shell</v>
      </c>
      <c r="B7" s="57"/>
      <c r="D7" s="58" t="str">
        <f>IF(OR(E5="",E5="material"),_xlfn.XLOOKUP(E6,mat!$A:$A, mat!$B:$B,"") &amp; "","")</f>
        <v>core</v>
      </c>
      <c r="E7" s="57"/>
      <c r="G7" s="58" t="str">
        <f>IF(OR(H5="",H5="material"),_xlfn.XLOOKUP(H6,mat!$A:$A, mat!$B:$B,"") &amp; "","")</f>
        <v>foundation</v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500.0</v>
      </c>
      <c r="C3" s="3">
        <v>200.0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D25"/>
  <sheetViews>
    <sheetView showGridLines="0" zoomScale="140" zoomScaleNormal="140" workbookViewId="0">
      <selection activeCell="B25" sqref="B25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0" width="10.83203125" style="1" customWidth="1"/>
    <col min="21" max="21" width="4.33203125" customWidth="1"/>
  </cols>
  <sheetData>
    <row r="2" spans="1:30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AB2" t="s">
        <v>257</v>
      </c>
      <c r="AC2" t="s">
        <v>258</v>
      </c>
      <c r="AD2" t="s">
        <v>259</v>
      </c>
    </row>
    <row r="3" spans="1:30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IF($G3="","",IFERROR(VLOOKUP($G3,$AB$8:$AD$11,2,0),""))</f>
        <v/>
      </c>
      <c r="I3" s="3" t="str">
        <f t="shared" ref="I3:I22" si="1">IF($G3="","",IFERROR(VLOOKUP($G3,$AB$8:$AD$11,3,0),""))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AB3" t="s">
        <v>260</v>
      </c>
      <c r="AC3" t="s">
        <v>261</v>
      </c>
      <c r="AD3" t="s">
        <v>262</v>
      </c>
    </row>
    <row r="4" spans="1:30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AB4" t="s">
        <v>263</v>
      </c>
    </row>
    <row r="5" spans="1:30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AB5" t="s">
        <v>264</v>
      </c>
    </row>
    <row r="6" spans="1:30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30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30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AB8" t="s">
        <v>257</v>
      </c>
      <c r="AC8" t="s">
        <v>258</v>
      </c>
      <c r="AD8" t="s">
        <v>259</v>
      </c>
    </row>
    <row r="9" spans="1:30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AB9" t="s">
        <v>260</v>
      </c>
      <c r="AC9" t="s">
        <v>261</v>
      </c>
      <c r="AD9" t="s">
        <v>262</v>
      </c>
    </row>
    <row r="10" spans="1:30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AB10" t="s">
        <v>263</v>
      </c>
      <c r="AC10" t="s">
        <v>261</v>
      </c>
      <c r="AD10" t="s">
        <v>259</v>
      </c>
    </row>
    <row r="11" spans="1:30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AB11" t="s">
        <v>264</v>
      </c>
      <c r="AC11" t="s">
        <v>261</v>
      </c>
      <c r="AD11" t="s">
        <v>259</v>
      </c>
    </row>
    <row r="12" spans="1:30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30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30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30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30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3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3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3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3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3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3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3" x14ac:dyDescent="0.2">
      <c r="V23" s="42"/>
      <c r="W23" t="s">
        <v>91</v>
      </c>
    </row>
    <row r="24" spans="1:23" x14ac:dyDescent="0.2">
      <c r="K24" s="9"/>
      <c r="L24" s="9"/>
      <c r="V24" s="26"/>
      <c r="W24" s="9" t="s">
        <v>96</v>
      </c>
    </row>
    <row r="25" spans="1:23" x14ac:dyDescent="0.2">
      <c r="K25" s="9"/>
      <c r="L25" s="9"/>
      <c r="V25" s="29"/>
      <c r="W25" s="9" t="s">
        <v>103</v>
      </c>
    </row>
  </sheetData>
  <dataValidations count="3">
    <dataValidation type="list" allowBlank="1" showInputMessage="1" showErrorMessage="1" sqref="G3:G22" xr:uid="{00000000-0002-0000-0900-000000000000}">
      <formula1>$AB$2:$AB$5</formula1>
    </dataValidation>
    <dataValidation type="list" allowBlank="1" showInputMessage="1" showErrorMessage="1" sqref="H3:H22" xr:uid="{00000000-0002-0000-0900-000001000000}">
      <formula1>$AC$2:$AC$3</formula1>
    </dataValidation>
    <dataValidation type="list" allowBlank="1" showInputMessage="1" showErrorMessage="1" sqref="I3:I22" xr:uid="{00000000-0002-0000-0900-000002000000}">
      <formula1>$AD$2:$AD$3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2026-09-07T22:01:36Z</dcterms:modified>
</cp:coreProperties>
</file>