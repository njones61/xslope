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"/>
    </mc:Choice>
  </mc:AlternateContent>
  <xr:revisionPtr revIDLastSave="0" documentId="8_{C1301AE7-FEB1-5248-9DD5-B55405B16652}" xr6:coauthVersionLast="47" xr6:coauthVersionMax="47" xr10:uidLastSave="{00000000-0000-0000-0000-000000000000}"/>
  <bookViews>
    <workbookView xWindow="23080" yWindow="1940" windowWidth="28640" windowHeight="14340" activeTab="1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<sst xmlns="http://schemas.openxmlformats.org/spreadsheetml/2006/main" count="287" uniqueCount="161">
  <si>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</si>
  <si>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</si>
  <si>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</si>
  <si>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</si>
  <si>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</si>
  <si>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</si>
  <si>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</si>
  <si>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</si>
  <si>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</si>
  <si>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</si>
  <si>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</si>
  <si>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</si>
  <si>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</si>
  <si>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</si>
  <si>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</si>
  <si>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</si>
  <si>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</si>
  <si>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</si>
  <si>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</si>
  <si>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</si>
  <si>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</si>
  <si>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</si>
  <si>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</si>
  <si>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</si>
  <si>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</si>
  <si>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</si>
  <si>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</si>
  <si>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</si>
  <si>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</si>
  <si>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</si>
  <si>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</si>
  <si>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</si>
  <si>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</si>
  <si>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</si>
  <si>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</si>
  <si>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</si>
  <si>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</si>
  <si>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</si>
  <si>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</si>
  <si>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</si>
  <si>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</si>
  <si>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</si>
  <si>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</si>
  <si>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</si>
  <si>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</si>
  <si>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</si>
  <si>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</si>
  <si>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</si>
  <si>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</si>
  <si>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</si>
  <si>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</si>
  <si>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</si>
  <si>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</si>
  <si>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</si>
  <si>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</si>
  <si>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</si>
  <si>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</si>
  <si>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</si>
  <si>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</si>
  <si>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</si>
  <si>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</si>
  <si>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</si>
  <si>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</si>
  <si>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</si>
  <si>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</si>
  <si>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</si>
  <si>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</si>
  <si>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</si>
  <si>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</si>
  <si>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</si>
  <si>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</si>
  <si>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</si>
  <si>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</si>
  <si>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</si>
  <si>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</si>
  <si>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</si>
  <si>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</si>
  <si>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</si>
  <si>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</si>
  <si>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</si>
  <si>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</si>
  <si>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</si>
  <si>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</si>
  <si>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</si>
  <si>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</si>
  <si>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</si>
  <si>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</si>
  <si>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</si>
  <si>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</si>
  <si>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</si>
  <si>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</si>
  <si>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</si>
  <si>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</si>
  <si>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</si>
  <si>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</si>
  <si>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</si>
  <si>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</si>
  <si>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</si>
  <si>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</si>
  <si>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</si>
  <si>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</si>
  <si>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</si>
  <si>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</si>
  <si>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</si>
  <si>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</si>
  <si>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</si>
  <si>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</si>
  <si>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</si>
  <si>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</si>
  <si>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</si>
  <si>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</si>
  <si>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</si>
  <si>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</si>
  <si>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</si>
  <si>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</si>
  <si>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</si>
  <si>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</si>
  <si>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</si>
  <si>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</si>
  <si>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</si>
  <si>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</si>
  <si>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</si>
  <si>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</si>
  <si>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</si>
  <si>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</si>
  <si>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</si>
  <si>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</si>
  <si>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</si>
  <si>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</si>
  <si>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</si>
  <si>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</si>
  <si>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</si>
  <si>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</si>
  <si>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</si>
  <si>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</si>
  <si>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</si>
  <si>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</si>
  <si>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</si>
  <si>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</si>
  <si>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</si>
  <si>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</si>
  <si>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</si>
  <si>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</si>
  <si>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</si>
  <si>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</si>
  <si>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</si>
  <si>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</si>
  <si>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</si>
  <si>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</si>
  <si>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</si>
  <si>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</si>
  <si>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</si>
  <si>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</si>
  <si>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Glacial Till</t>
  </si>
  <si>
    <t>Rip Rap</t>
  </si>
  <si>
    <t>Shell</t>
  </si>
  <si>
    <t>Core</t>
  </si>
  <si>
    <t>Filter</t>
  </si>
  <si>
    <t>Drain</t>
  </si>
  <si>
    <t>Bedrock</t>
  </si>
  <si>
    <t>Grouted Bedrock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</si>
</sst>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150</c:v>
                </c:pt>
                <c:pt idx="1">
                  <c:v>225</c:v>
                </c:pt>
                <c:pt idx="2">
                  <c:v>240</c:v>
                </c:pt>
                <c:pt idx="3">
                  <c:v>240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200</c:v>
                </c:pt>
                <c:pt idx="1">
                  <c:v>225</c:v>
                </c:pt>
                <c:pt idx="2">
                  <c:v>230</c:v>
                </c:pt>
                <c:pt idx="3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profile!$D$9:$D$27</c:f>
              <c:numCache>
                <c:formatCode>General</c:formatCode>
                <c:ptCount val="19"/>
                <c:pt idx="0">
                  <c:v>240</c:v>
                </c:pt>
                <c:pt idx="1">
                  <c:v>260</c:v>
                </c:pt>
                <c:pt idx="2">
                  <c:v>260</c:v>
                </c:pt>
              </c:numCache>
            </c:numRef>
          </c:xVal>
          <c:yVal>
            <c:numRef>
              <c:f>profile!$E$9:$E$27</c:f>
              <c:numCache>
                <c:formatCode>General</c:formatCode>
                <c:ptCount val="19"/>
                <c:pt idx="0">
                  <c:v>230</c:v>
                </c:pt>
                <c:pt idx="1">
                  <c:v>230</c:v>
                </c:pt>
                <c:pt idx="2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profile!$G$9:$G$27</c:f>
              <c:numCache>
                <c:formatCode>General</c:formatCode>
                <c:ptCount val="19"/>
                <c:pt idx="0">
                  <c:v>260</c:v>
                </c:pt>
                <c:pt idx="1">
                  <c:v>316</c:v>
                </c:pt>
                <c:pt idx="2">
                  <c:v>313</c:v>
                </c:pt>
              </c:numCache>
            </c:numRef>
          </c:xVal>
          <c:yVal>
            <c:numRef>
              <c:f>profile!$H$9:$H$27</c:f>
              <c:numCache>
                <c:formatCode>General</c:formatCode>
                <c:ptCount val="19"/>
                <c:pt idx="0">
                  <c:v>230</c:v>
                </c:pt>
                <c:pt idx="1">
                  <c:v>202</c:v>
                </c:pt>
                <c:pt idx="2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  <c:pt idx="0">
                  <c:v>153</c:v>
                </c:pt>
                <c:pt idx="1">
                  <c:v>240</c:v>
                </c:pt>
                <c:pt idx="2">
                  <c:v>210</c:v>
                </c:pt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  <c:pt idx="0">
                  <c:v>200</c:v>
                </c:pt>
                <c:pt idx="1">
                  <c:v>229</c:v>
                </c:pt>
                <c:pt idx="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  <c:pt idx="0">
                  <c:v>210</c:v>
                </c:pt>
                <c:pt idx="1">
                  <c:v>240</c:v>
                </c:pt>
                <c:pt idx="2">
                  <c:v>250</c:v>
                </c:pt>
                <c:pt idx="3">
                  <c:v>250</c:v>
                </c:pt>
                <c:pt idx="4">
                  <c:v>240</c:v>
                </c:pt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  <c:pt idx="0">
                  <c:v>200</c:v>
                </c:pt>
                <c:pt idx="1">
                  <c:v>229</c:v>
                </c:pt>
                <c:pt idx="2">
                  <c:v>229</c:v>
                </c:pt>
                <c:pt idx="3">
                  <c:v>200</c:v>
                </c:pt>
                <c:pt idx="4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  <c:pt idx="0">
                  <c:v>240</c:v>
                </c:pt>
                <c:pt idx="1">
                  <c:v>250</c:v>
                </c:pt>
                <c:pt idx="2">
                  <c:v>250</c:v>
                </c:pt>
                <c:pt idx="3">
                  <c:v>255</c:v>
                </c:pt>
                <c:pt idx="4">
                  <c:v>255</c:v>
                </c:pt>
                <c:pt idx="5">
                  <c:v>320</c:v>
                </c:pt>
                <c:pt idx="6">
                  <c:v>324</c:v>
                </c:pt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  <c:pt idx="0">
                  <c:v>190</c:v>
                </c:pt>
                <c:pt idx="1">
                  <c:v>200</c:v>
                </c:pt>
                <c:pt idx="2">
                  <c:v>229</c:v>
                </c:pt>
                <c:pt idx="3">
                  <c:v>229</c:v>
                </c:pt>
                <c:pt idx="4">
                  <c:v>200</c:v>
                </c:pt>
                <c:pt idx="5">
                  <c:v>200</c:v>
                </c:pt>
                <c:pt idx="6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  <c:pt idx="0">
                  <c:v>255</c:v>
                </c:pt>
                <c:pt idx="1">
                  <c:v>255</c:v>
                </c:pt>
                <c:pt idx="2">
                  <c:v>260</c:v>
                </c:pt>
                <c:pt idx="3">
                  <c:v>260</c:v>
                </c:pt>
                <c:pt idx="4">
                  <c:v>316</c:v>
                </c:pt>
                <c:pt idx="5">
                  <c:v>320</c:v>
                </c:pt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  <c:pt idx="0">
                  <c:v>200</c:v>
                </c:pt>
                <c:pt idx="1">
                  <c:v>229</c:v>
                </c:pt>
                <c:pt idx="2">
                  <c:v>229</c:v>
                </c:pt>
                <c:pt idx="3">
                  <c:v>202</c:v>
                </c:pt>
                <c:pt idx="4">
                  <c:v>202</c:v>
                </c:pt>
                <c:pt idx="5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  <c:pt idx="0">
                  <c:v>260</c:v>
                </c:pt>
                <c:pt idx="1">
                  <c:v>260</c:v>
                </c:pt>
                <c:pt idx="2">
                  <c:v>313</c:v>
                </c:pt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  <c:pt idx="0">
                  <c:v>202</c:v>
                </c:pt>
                <c:pt idx="1">
                  <c:v>229</c:v>
                </c:pt>
                <c:pt idx="2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  <c:pt idx="0">
                  <c:v>0</c:v>
                </c:pt>
                <c:pt idx="1">
                  <c:v>210</c:v>
                </c:pt>
                <c:pt idx="2">
                  <c:v>215</c:v>
                </c:pt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  <c:pt idx="0">
                  <c:v>200</c:v>
                </c:pt>
                <c:pt idx="1">
                  <c:v>200</c:v>
                </c:pt>
                <c:pt idx="2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  <c:pt idx="0">
                  <c:v>250</c:v>
                </c:pt>
                <c:pt idx="1">
                  <c:v>253</c:v>
                </c:pt>
                <c:pt idx="2">
                  <c:v>475</c:v>
                </c:pt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  <c:pt idx="0">
                  <c:v>195</c:v>
                </c:pt>
                <c:pt idx="1">
                  <c:v>198</c:v>
                </c:pt>
                <c:pt idx="2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  <c:pt idx="0">
                  <c:v>0</c:v>
                </c:pt>
                <c:pt idx="1">
                  <c:v>215</c:v>
                </c:pt>
                <c:pt idx="2">
                  <c:v>220</c:v>
                </c:pt>
                <c:pt idx="3">
                  <c:v>220</c:v>
                </c:pt>
                <c:pt idx="4">
                  <c:v>240</c:v>
                </c:pt>
                <c:pt idx="5">
                  <c:v>240</c:v>
                </c:pt>
                <c:pt idx="6">
                  <c:v>245</c:v>
                </c:pt>
                <c:pt idx="7">
                  <c:v>250</c:v>
                </c:pt>
                <c:pt idx="8">
                  <c:v>475</c:v>
                </c:pt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  <c:pt idx="0">
                  <c:v>195</c:v>
                </c:pt>
                <c:pt idx="1">
                  <c:v>195</c:v>
                </c:pt>
                <c:pt idx="2">
                  <c:v>190</c:v>
                </c:pt>
                <c:pt idx="3">
                  <c:v>140</c:v>
                </c:pt>
                <c:pt idx="4">
                  <c:v>140</c:v>
                </c:pt>
                <c:pt idx="5">
                  <c:v>190</c:v>
                </c:pt>
                <c:pt idx="6">
                  <c:v>190</c:v>
                </c:pt>
                <c:pt idx="7">
                  <c:v>195</c:v>
                </c:pt>
                <c:pt idx="8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profile!$AH$17:$AH$27</c:f>
              <c:numCache>
                <c:formatCode>General</c:formatCode>
                <c:ptCount val="11"/>
              </c:numCache>
            </c:numRef>
          </c:xVal>
          <c:yVal>
            <c:numRef>
              <c:f>profile!$AI$17:$AI$27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260</c:v>
                </c:pt>
                <c:pt idx="1">
                  <c:v>324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230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225</c:v>
                </c:pt>
                <c:pt idx="1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324</c:v>
                </c:pt>
                <c:pt idx="1">
                  <c:v>475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198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D26" sqref="D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abSelected="1" topLeftCell="D4" zoomScale="240" zoomScaleNormal="2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topLeftCell="J3" zoomScale="140" zoomScaleNormal="140" workbookViewId="0">
      <selection activeCell="V17" sqref="V17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50" t="s">
        <v>57</v>
      </c>
      <c r="D7" s="50"/>
      <c r="E7" s="50"/>
      <c r="F7" s="50"/>
      <c r="G7" s="50"/>
      <c r="H7" s="50"/>
      <c r="I7" s="50"/>
      <c r="J7" s="50"/>
      <c r="K7" s="1"/>
      <c r="L7" s="50" t="s">
        <v>58</v>
      </c>
      <c r="M7" s="50"/>
      <c r="N7" s="50"/>
      <c r="O7" s="50"/>
      <c r="P7" s="50"/>
      <c r="Q7" s="50"/>
      <c r="R7" s="50" t="s">
        <v>95</v>
      </c>
      <c r="S7" s="50"/>
      <c r="T7" s="50"/>
      <c r="U7" s="50"/>
      <c r="V7" s="50"/>
      <c r="W7" s="50" t="s">
        <v>102</v>
      </c>
      <c r="X7" s="50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100000</v>
      </c>
      <c r="S9" s="3">
        <v>100000</v>
      </c>
      <c r="T9" s="3">
        <v>0</v>
      </c>
      <c r="U9" s="3">
        <v>1E-4</v>
      </c>
      <c r="V9" s="3">
        <v>-1</v>
      </c>
      <c r="W9" s="3"/>
      <c r="X9" s="3"/>
    </row>
    <row r="10" spans="1:24" x14ac:dyDescent="0.2">
      <c r="A10" s="3">
        <v>2</v>
      </c>
      <c r="B10" s="3" t="s">
        <v>155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250</v>
      </c>
      <c r="S10" s="3">
        <v>50</v>
      </c>
      <c r="T10" s="3">
        <v>0</v>
      </c>
      <c r="U10" s="3">
        <v>1E-4</v>
      </c>
      <c r="V10" s="3">
        <v>-1</v>
      </c>
      <c r="W10" s="3"/>
      <c r="X10" s="3"/>
    </row>
    <row r="11" spans="1:24" x14ac:dyDescent="0.2">
      <c r="A11" s="3">
        <v>3</v>
      </c>
      <c r="B11" s="3" t="s">
        <v>154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100000</v>
      </c>
      <c r="S11" s="3">
        <v>100000</v>
      </c>
      <c r="T11" s="3">
        <v>0</v>
      </c>
      <c r="U11" s="3">
        <v>1E-4</v>
      </c>
      <c r="V11" s="3">
        <v>-1</v>
      </c>
      <c r="W11" s="3"/>
      <c r="X11" s="3"/>
    </row>
    <row r="12" spans="1:24" x14ac:dyDescent="0.2">
      <c r="A12" s="3">
        <v>4</v>
      </c>
      <c r="B12" s="3" t="s">
        <v>155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250</v>
      </c>
      <c r="S12" s="3">
        <v>50</v>
      </c>
      <c r="T12" s="3">
        <v>0</v>
      </c>
      <c r="U12" s="3">
        <v>1E-4</v>
      </c>
      <c r="V12" s="3">
        <v>-1</v>
      </c>
      <c r="W12" s="3"/>
      <c r="X12" s="3"/>
    </row>
    <row r="13" spans="1:24" x14ac:dyDescent="0.2">
      <c r="A13" s="3">
        <v>5</v>
      </c>
      <c r="B13" s="3" t="s">
        <v>156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0.1</v>
      </c>
      <c r="S13" s="3">
        <v>0.1</v>
      </c>
      <c r="T13" s="3">
        <v>0</v>
      </c>
      <c r="U13" s="3">
        <v>1E-4</v>
      </c>
      <c r="V13" s="3">
        <v>-1</v>
      </c>
      <c r="W13" s="3"/>
      <c r="X13" s="3"/>
    </row>
    <row r="14" spans="1:24" x14ac:dyDescent="0.2">
      <c r="A14" s="3">
        <v>6</v>
      </c>
      <c r="B14" s="3" t="s">
        <v>157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1000</v>
      </c>
      <c r="S14" s="3">
        <v>1000</v>
      </c>
      <c r="T14" s="3">
        <v>0</v>
      </c>
      <c r="U14" s="3">
        <v>1E-4</v>
      </c>
      <c r="V14" s="3">
        <v>-1</v>
      </c>
      <c r="W14" s="3"/>
      <c r="X14" s="3"/>
    </row>
    <row r="15" spans="1:24" x14ac:dyDescent="0.2">
      <c r="A15" s="3">
        <v>7</v>
      </c>
      <c r="B15" s="3" t="s">
        <v>158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100000</v>
      </c>
      <c r="S15" s="3">
        <v>100000</v>
      </c>
      <c r="T15" s="3">
        <v>0</v>
      </c>
      <c r="U15" s="3">
        <v>1E-4</v>
      </c>
      <c r="V15" s="3">
        <v>-1</v>
      </c>
      <c r="W15" s="3"/>
      <c r="X15" s="3"/>
    </row>
    <row r="16" spans="1:24" x14ac:dyDescent="0.2">
      <c r="A16" s="3">
        <v>8</v>
      </c>
      <c r="B16" s="3" t="s">
        <v>155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v>250</v>
      </c>
      <c r="S16" s="3">
        <v>50</v>
      </c>
      <c r="T16" s="3">
        <v>0</v>
      </c>
      <c r="U16" s="3">
        <v>1E-4</v>
      </c>
      <c r="V16" s="3">
        <v>-1</v>
      </c>
      <c r="W16" s="3"/>
      <c r="X16" s="3"/>
    </row>
    <row r="17" spans="1:24" x14ac:dyDescent="0.2">
      <c r="A17" s="3">
        <v>9</v>
      </c>
      <c r="B17" s="3" t="s">
        <v>153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4000</v>
      </c>
      <c r="S17" s="3">
        <v>2000</v>
      </c>
      <c r="T17" s="3">
        <v>0</v>
      </c>
      <c r="U17" s="3">
        <v>1E-4</v>
      </c>
      <c r="V17" s="3">
        <v>-1</v>
      </c>
      <c r="W17" s="3"/>
      <c r="X17" s="3"/>
    </row>
    <row r="18" spans="1:24" x14ac:dyDescent="0.2">
      <c r="A18" s="3">
        <v>10</v>
      </c>
      <c r="B18" s="3" t="s">
        <v>153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4000</v>
      </c>
      <c r="S18" s="3">
        <v>2000</v>
      </c>
      <c r="T18" s="3">
        <v>0</v>
      </c>
      <c r="U18" s="3">
        <v>1E-4</v>
      </c>
      <c r="V18" s="3">
        <v>-1</v>
      </c>
      <c r="W18" s="3"/>
      <c r="X18" s="3"/>
    </row>
    <row r="19" spans="1:24" x14ac:dyDescent="0.2">
      <c r="A19" s="3">
        <v>11</v>
      </c>
      <c r="B19" s="3" t="s">
        <v>159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2000</v>
      </c>
      <c r="S19" s="3">
        <v>1000</v>
      </c>
      <c r="T19" s="3">
        <v>0</v>
      </c>
      <c r="U19" s="3">
        <v>1E-4</v>
      </c>
      <c r="V19" s="3">
        <v>-1</v>
      </c>
      <c r="W19" s="3"/>
      <c r="X19" s="3"/>
    </row>
    <row r="20" spans="1:24" x14ac:dyDescent="0.2">
      <c r="A20" s="3">
        <v>12</v>
      </c>
      <c r="B20" s="3" t="s">
        <v>160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v>250</v>
      </c>
      <c r="S20" s="3">
        <v>250</v>
      </c>
      <c r="T20" s="3">
        <v>0</v>
      </c>
      <c r="U20" s="3">
        <v>1E-4</v>
      </c>
      <c r="V20" s="3">
        <v>-1</v>
      </c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M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topLeftCell="Z2" zoomScale="140" zoomScaleNormal="140" workbookViewId="0">
      <selection activeCell="AH8" sqref="AH8:AI9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116</v>
      </c>
      <c r="AF4" s="53"/>
      <c r="AG4" s="1"/>
      <c r="AH4" s="53" t="s">
        <v>117</v>
      </c>
      <c r="AI4" s="53"/>
      <c r="AJ4" s="1"/>
      <c r="AK4" s="53" t="s">
        <v>118</v>
      </c>
      <c r="AL4" s="53"/>
      <c r="AM4" s="1"/>
      <c r="AN4" s="53" t="s">
        <v>119</v>
      </c>
      <c r="AO4" s="53"/>
      <c r="AP4" s="1"/>
      <c r="AQ4" s="53" t="s">
        <v>120</v>
      </c>
      <c r="AR4" s="53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51" t="str">
        <f>_xlfn.XLOOKUP(B5,mat!$A:$A, mat!$B:$B,"") &amp; ""</f>
        <v>Rip Rap</v>
      </c>
      <c r="B6" s="52"/>
      <c r="D6" s="51" t="str">
        <f>_xlfn.XLOOKUP(E5,mat!$A:$A, mat!$B:$B,"") &amp; ""</f>
        <v>Shell</v>
      </c>
      <c r="E6" s="52"/>
      <c r="G6" s="51" t="str">
        <f>_xlfn.XLOOKUP(H5,mat!$A:$A, mat!$B:$B,"") &amp; ""</f>
        <v>Rip Rap</v>
      </c>
      <c r="H6" s="52"/>
      <c r="J6" s="51" t="str">
        <f>_xlfn.XLOOKUP(K5,mat!$A:$A, mat!$B:$B,"") &amp; ""</f>
        <v>Shell</v>
      </c>
      <c r="K6" s="52"/>
      <c r="M6" s="51" t="str">
        <f>_xlfn.XLOOKUP(N5,mat!$A:$A, mat!$B:$B,"") &amp; ""</f>
        <v>Core</v>
      </c>
      <c r="N6" s="52"/>
      <c r="P6" s="51" t="str">
        <f>_xlfn.XLOOKUP(Q5,mat!$A:$A, mat!$B:$B,"") &amp; ""</f>
        <v>Filter</v>
      </c>
      <c r="Q6" s="52"/>
      <c r="R6" s="1"/>
      <c r="S6" s="51" t="str">
        <f>_xlfn.XLOOKUP(T5,mat!$A:$A, mat!$B:$B,"") &amp; ""</f>
        <v>Drain</v>
      </c>
      <c r="T6" s="52"/>
      <c r="U6" s="1"/>
      <c r="V6" s="51" t="str">
        <f>_xlfn.XLOOKUP(W5,mat!$A:$A, mat!$B:$B,"") &amp; ""</f>
        <v>Shell</v>
      </c>
      <c r="W6" s="52"/>
      <c r="X6" s="1"/>
      <c r="Y6" s="51" t="str">
        <f>_xlfn.XLOOKUP(Z5,mat!$A:$A, mat!$B:$B,"") &amp; ""</f>
        <v>Glacial Till</v>
      </c>
      <c r="Z6" s="52"/>
      <c r="AA6" s="1"/>
      <c r="AB6" s="51" t="str">
        <f>_xlfn.XLOOKUP(AC5,mat!$A:$A, mat!$B:$B,"") &amp; ""</f>
        <v>Glacial Till</v>
      </c>
      <c r="AC6" s="52"/>
      <c r="AE6" s="51" t="str">
        <f>_xlfn.XLOOKUP(AF5,mat!$A:$A, mat!$B:$B,"") &amp; ""</f>
        <v>Bedrock</v>
      </c>
      <c r="AF6" s="52"/>
      <c r="AG6" s="1"/>
      <c r="AH6" s="51" t="str">
        <f>_xlfn.XLOOKUP(AI5,mat!$A:$A, mat!$B:$B,"") &amp; ""</f>
        <v>Grouted Bedrock</v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150</v>
      </c>
      <c r="B8" s="3">
        <v>200</v>
      </c>
      <c r="D8" s="1">
        <v>240</v>
      </c>
      <c r="E8" s="1">
        <v>229</v>
      </c>
      <c r="G8" s="1">
        <v>260</v>
      </c>
      <c r="H8" s="1">
        <v>229</v>
      </c>
      <c r="J8" s="3">
        <v>153</v>
      </c>
      <c r="K8" s="3">
        <v>200</v>
      </c>
      <c r="M8" s="3">
        <v>210</v>
      </c>
      <c r="N8" s="3">
        <v>200</v>
      </c>
      <c r="P8" s="44">
        <v>240</v>
      </c>
      <c r="Q8" s="44">
        <v>190</v>
      </c>
      <c r="R8" s="1"/>
      <c r="S8" s="1">
        <v>255</v>
      </c>
      <c r="T8" s="1">
        <v>200</v>
      </c>
      <c r="U8" s="1"/>
      <c r="V8" s="16">
        <v>260</v>
      </c>
      <c r="W8" s="17">
        <v>202</v>
      </c>
      <c r="X8" s="1"/>
      <c r="Y8" s="16">
        <v>0</v>
      </c>
      <c r="Z8" s="17">
        <v>200</v>
      </c>
      <c r="AA8" s="1"/>
      <c r="AB8" s="47">
        <v>250</v>
      </c>
      <c r="AC8" s="47">
        <v>195</v>
      </c>
      <c r="AE8" s="16">
        <v>0</v>
      </c>
      <c r="AF8" s="17">
        <v>195</v>
      </c>
      <c r="AH8" s="18">
        <v>220</v>
      </c>
      <c r="AI8" s="19">
        <v>190</v>
      </c>
      <c r="AJ8" s="1"/>
      <c r="AK8" s="1"/>
      <c r="AL8" s="1"/>
      <c r="AM8" s="1"/>
      <c r="AN8" s="16"/>
      <c r="AO8" s="17"/>
      <c r="AP8" s="1"/>
      <c r="AQ8" s="16"/>
      <c r="AR8" s="17"/>
    </row>
    <row r="9" spans="1:44" x14ac:dyDescent="0.2">
      <c r="A9" s="3">
        <v>225</v>
      </c>
      <c r="B9" s="3">
        <v>225</v>
      </c>
      <c r="D9" s="3">
        <v>240</v>
      </c>
      <c r="E9" s="3">
        <v>230</v>
      </c>
      <c r="G9" s="3">
        <v>260</v>
      </c>
      <c r="H9" s="3">
        <v>230</v>
      </c>
      <c r="J9" s="3">
        <v>240</v>
      </c>
      <c r="K9" s="3">
        <v>229</v>
      </c>
      <c r="M9" s="16">
        <v>240</v>
      </c>
      <c r="N9" s="17">
        <v>229</v>
      </c>
      <c r="P9" s="44">
        <v>250</v>
      </c>
      <c r="Q9" s="44">
        <v>200</v>
      </c>
      <c r="R9" s="1"/>
      <c r="S9" s="1">
        <v>255</v>
      </c>
      <c r="T9" s="1">
        <v>229</v>
      </c>
      <c r="U9" s="1"/>
      <c r="V9" s="18">
        <v>260</v>
      </c>
      <c r="W9" s="19">
        <v>229</v>
      </c>
      <c r="X9" s="1"/>
      <c r="Y9" s="18">
        <v>210</v>
      </c>
      <c r="Z9" s="19">
        <v>200</v>
      </c>
      <c r="AA9" s="1"/>
      <c r="AB9" s="47">
        <v>253</v>
      </c>
      <c r="AC9" s="47">
        <v>198</v>
      </c>
      <c r="AE9" s="18">
        <v>215</v>
      </c>
      <c r="AF9" s="19">
        <v>195</v>
      </c>
      <c r="AH9" s="3">
        <v>240</v>
      </c>
      <c r="AI9" s="3">
        <v>190</v>
      </c>
      <c r="AJ9" s="1"/>
      <c r="AK9" s="1"/>
      <c r="AL9" s="1"/>
      <c r="AM9" s="1"/>
      <c r="AN9" s="18"/>
      <c r="AO9" s="19"/>
      <c r="AP9" s="1"/>
      <c r="AQ9" s="18"/>
      <c r="AR9" s="19"/>
    </row>
    <row r="10" spans="1:44" x14ac:dyDescent="0.2">
      <c r="A10" s="3">
        <v>240</v>
      </c>
      <c r="B10" s="3">
        <v>230</v>
      </c>
      <c r="D10" s="3">
        <v>260</v>
      </c>
      <c r="E10" s="3">
        <v>230</v>
      </c>
      <c r="G10" s="3">
        <v>316</v>
      </c>
      <c r="H10" s="3">
        <v>202</v>
      </c>
      <c r="J10" s="3">
        <v>210</v>
      </c>
      <c r="K10" s="3">
        <v>200</v>
      </c>
      <c r="M10" s="18">
        <v>250</v>
      </c>
      <c r="N10" s="19">
        <v>229</v>
      </c>
      <c r="P10">
        <v>250</v>
      </c>
      <c r="Q10">
        <v>229</v>
      </c>
      <c r="R10" s="1"/>
      <c r="S10" s="3">
        <v>260</v>
      </c>
      <c r="T10" s="3">
        <v>229</v>
      </c>
      <c r="U10" s="1"/>
      <c r="V10" s="18">
        <v>313</v>
      </c>
      <c r="W10" s="19">
        <v>202</v>
      </c>
      <c r="X10" s="1"/>
      <c r="Y10" s="18">
        <v>215</v>
      </c>
      <c r="Z10" s="19">
        <v>195</v>
      </c>
      <c r="AA10" s="1"/>
      <c r="AB10">
        <v>475</v>
      </c>
      <c r="AC10" s="48">
        <v>198</v>
      </c>
      <c r="AE10" s="18">
        <v>220</v>
      </c>
      <c r="AF10" s="19">
        <v>190</v>
      </c>
      <c r="AJ10" s="1"/>
      <c r="AK10" s="3"/>
      <c r="AL10" s="3"/>
      <c r="AM10" s="1"/>
      <c r="AN10" s="18"/>
      <c r="AO10" s="19"/>
      <c r="AP10" s="1"/>
      <c r="AQ10" s="18"/>
      <c r="AR10" s="19"/>
    </row>
    <row r="11" spans="1:44" x14ac:dyDescent="0.2">
      <c r="A11" s="3">
        <v>240</v>
      </c>
      <c r="B11" s="3">
        <v>229</v>
      </c>
      <c r="D11" s="3">
        <v>260</v>
      </c>
      <c r="E11" s="3">
        <v>229</v>
      </c>
      <c r="G11" s="3">
        <v>313</v>
      </c>
      <c r="H11" s="3">
        <v>202</v>
      </c>
      <c r="J11" s="3"/>
      <c r="K11" s="3"/>
      <c r="M11" s="3">
        <v>250</v>
      </c>
      <c r="N11" s="3">
        <v>200</v>
      </c>
      <c r="P11" s="3">
        <v>255</v>
      </c>
      <c r="Q11" s="3">
        <v>229</v>
      </c>
      <c r="R11" s="1"/>
      <c r="S11" s="18">
        <v>260</v>
      </c>
      <c r="T11" s="19">
        <v>202</v>
      </c>
      <c r="U11" s="1"/>
      <c r="X11" s="1"/>
      <c r="Y11" s="16"/>
      <c r="Z11" s="17"/>
      <c r="AA11" s="1"/>
      <c r="AE11" s="18">
        <v>220</v>
      </c>
      <c r="AF11" s="19">
        <v>140</v>
      </c>
      <c r="AI11" s="3"/>
      <c r="AJ11" s="1"/>
      <c r="AK11" s="3"/>
      <c r="AL11" s="3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>
        <v>240</v>
      </c>
      <c r="N12" s="3">
        <v>190</v>
      </c>
      <c r="P12" s="3">
        <v>255</v>
      </c>
      <c r="Q12" s="3">
        <v>200</v>
      </c>
      <c r="R12" s="1"/>
      <c r="S12" s="3">
        <v>316</v>
      </c>
      <c r="T12" s="3">
        <v>202</v>
      </c>
      <c r="U12" s="1"/>
      <c r="V12" s="3"/>
      <c r="W12" s="3"/>
      <c r="X12" s="1"/>
      <c r="Y12" s="3"/>
      <c r="Z12" s="3"/>
      <c r="AA12" s="1"/>
      <c r="AE12" s="3">
        <v>240</v>
      </c>
      <c r="AF12" s="3">
        <v>140</v>
      </c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P13" s="3">
        <v>320</v>
      </c>
      <c r="Q13" s="3">
        <v>200</v>
      </c>
      <c r="R13" s="1"/>
      <c r="S13" s="1">
        <v>320</v>
      </c>
      <c r="T13" s="1">
        <v>200</v>
      </c>
      <c r="U13" s="1"/>
      <c r="V13" s="3"/>
      <c r="W13" s="3"/>
      <c r="X13" s="1"/>
      <c r="Y13" s="3"/>
      <c r="Z13" s="3"/>
      <c r="AA13" s="1"/>
      <c r="AE13" s="45">
        <v>240</v>
      </c>
      <c r="AF13" s="46">
        <v>190</v>
      </c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P14" s="3">
        <v>324</v>
      </c>
      <c r="Q14" s="3">
        <v>198</v>
      </c>
      <c r="R14" s="1"/>
      <c r="U14" s="1"/>
      <c r="X14" s="1"/>
      <c r="AA14" s="1"/>
      <c r="AE14" s="45">
        <v>245</v>
      </c>
      <c r="AF14" s="46">
        <v>190</v>
      </c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U15" s="1"/>
      <c r="X15" s="1"/>
      <c r="AA15" s="1"/>
      <c r="AE15" s="45">
        <v>250</v>
      </c>
      <c r="AF15" s="46">
        <v>195</v>
      </c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X16" s="1"/>
      <c r="AA16" s="1"/>
      <c r="AE16" s="45">
        <v>475</v>
      </c>
      <c r="AF16" s="46">
        <v>195</v>
      </c>
      <c r="AH16" s="3"/>
      <c r="AI16" s="3"/>
      <c r="AJ16" s="1"/>
      <c r="AK16" s="43"/>
      <c r="AL16" s="4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AA17" s="1"/>
      <c r="AB17" s="3"/>
      <c r="AC17" s="3"/>
      <c r="AE17" s="3"/>
      <c r="AF17" s="3"/>
      <c r="AG17" s="1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E21" s="3"/>
      <c r="AF21" s="3"/>
      <c r="AG21" s="1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E22" s="3"/>
      <c r="AF22" s="3"/>
      <c r="AG22" s="1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4" t="s">
        <v>86</v>
      </c>
      <c r="B2" s="54"/>
      <c r="D2" s="55" t="s">
        <v>84</v>
      </c>
      <c r="E2" s="55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6" t="s">
        <v>129</v>
      </c>
      <c r="C2" s="56"/>
      <c r="D2" s="56"/>
      <c r="F2" s="56" t="s">
        <v>130</v>
      </c>
      <c r="G2" s="56"/>
      <c r="H2" s="56"/>
      <c r="J2" s="56" t="s">
        <v>131</v>
      </c>
      <c r="K2" s="56"/>
      <c r="L2" s="56"/>
      <c r="N2" s="56" t="s">
        <v>132</v>
      </c>
      <c r="O2" s="56"/>
      <c r="P2" s="56"/>
      <c r="R2" s="56" t="s">
        <v>133</v>
      </c>
      <c r="S2" s="56"/>
      <c r="T2" s="56"/>
      <c r="V2" s="56" t="s">
        <v>134</v>
      </c>
      <c r="W2" s="56"/>
      <c r="X2" s="56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147</v>
      </c>
      <c r="C2" s="57"/>
      <c r="D2" s="57"/>
      <c r="F2" s="57" t="s">
        <v>148</v>
      </c>
      <c r="G2" s="57"/>
      <c r="H2" s="57"/>
      <c r="J2" s="57" t="s">
        <v>149</v>
      </c>
      <c r="K2" s="57"/>
      <c r="L2" s="57"/>
      <c r="N2" s="57" t="s">
        <v>150</v>
      </c>
      <c r="O2" s="57"/>
      <c r="P2" s="57"/>
      <c r="R2" s="57" t="s">
        <v>151</v>
      </c>
      <c r="S2" s="57"/>
      <c r="T2" s="57"/>
      <c r="V2" s="57" t="s">
        <v>152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I7" sqref="I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8" t="s">
        <v>140</v>
      </c>
      <c r="C2" s="58"/>
      <c r="E2" s="54" t="s">
        <v>135</v>
      </c>
      <c r="F2" s="54"/>
      <c r="H2" s="54" t="s">
        <v>136</v>
      </c>
      <c r="I2" s="54"/>
      <c r="K2" s="54" t="s">
        <v>137</v>
      </c>
      <c r="L2" s="54"/>
      <c r="N2" s="54" t="s">
        <v>138</v>
      </c>
      <c r="O2" s="54"/>
      <c r="Q2" s="54" t="s">
        <v>139</v>
      </c>
      <c r="R2" s="54"/>
    </row>
    <row r="3" spans="2:18" x14ac:dyDescent="0.2">
      <c r="B3" s="58"/>
      <c r="C3" s="58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260</v>
      </c>
      <c r="C5" s="3">
        <v>230</v>
      </c>
      <c r="E5" s="3">
        <v>0</v>
      </c>
      <c r="F5" s="3">
        <v>225</v>
      </c>
      <c r="H5" s="3">
        <v>324</v>
      </c>
      <c r="I5" s="3">
        <v>198</v>
      </c>
      <c r="K5" s="3"/>
      <c r="L5" s="3"/>
      <c r="N5" s="3"/>
      <c r="O5" s="3"/>
      <c r="Q5" s="3"/>
      <c r="R5" s="3"/>
    </row>
    <row r="6" spans="2:18" x14ac:dyDescent="0.2">
      <c r="B6" s="3">
        <v>324</v>
      </c>
      <c r="C6" s="3">
        <v>198</v>
      </c>
      <c r="E6" s="3">
        <v>225</v>
      </c>
      <c r="F6" s="3">
        <v>225</v>
      </c>
      <c r="H6" s="3">
        <v>475</v>
      </c>
      <c r="I6" s="3">
        <v>198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142</v>
      </c>
      <c r="C2" s="59"/>
      <c r="E2" s="55" t="s">
        <v>141</v>
      </c>
      <c r="F2" s="55"/>
      <c r="H2" s="55" t="s">
        <v>143</v>
      </c>
      <c r="I2" s="55"/>
      <c r="K2" s="55" t="s">
        <v>144</v>
      </c>
      <c r="L2" s="55"/>
      <c r="N2" s="55" t="s">
        <v>145</v>
      </c>
      <c r="O2" s="55"/>
      <c r="Q2" s="55" t="s">
        <v>146</v>
      </c>
      <c r="R2" s="55"/>
    </row>
    <row r="3" spans="2:18" x14ac:dyDescent="0.2">
      <c r="B3" s="59"/>
      <c r="C3" s="59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2026-02-18T23:46:19Z</dcterms:modified>
</cp:coreProperties>
</file>