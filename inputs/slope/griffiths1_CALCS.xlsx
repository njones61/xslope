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cursor_projects/xslope/inputs/slope/"/>
    </mc:Choice>
  </mc:AlternateContent>
  <xr:revisionPtr revIDLastSave="0" documentId="13_ncr:1_{3B85FF62-6E0C-CC47-BFA2-BC9FF97BCBE5}" xr6:coauthVersionLast="47" xr6:coauthVersionMax="47" xr10:uidLastSave="{00000000-0000-0000-0000-000000000000}"/>
  <bookViews>
    <workbookView xWindow="36780" yWindow="7140" windowWidth="28040" windowHeight="17440" xr2:uid="{7F55063B-120D-4B45-8378-C9F43BE4B0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1" l="1"/>
  <c r="C43" i="1"/>
  <c r="C42" i="1"/>
  <c r="E21" i="1"/>
  <c r="E9" i="1"/>
  <c r="C25" i="1"/>
  <c r="C15" i="1"/>
  <c r="C9" i="1"/>
  <c r="C6" i="1"/>
  <c r="C8" i="1"/>
</calcChain>
</file>

<file path=xl/sharedStrings.xml><?xml version="1.0" encoding="utf-8"?>
<sst xmlns="http://schemas.openxmlformats.org/spreadsheetml/2006/main" count="27" uniqueCount="22">
  <si>
    <t>Sigma1</t>
  </si>
  <si>
    <t>Sigma3</t>
  </si>
  <si>
    <t>C</t>
  </si>
  <si>
    <t>phi</t>
  </si>
  <si>
    <t>Element</t>
  </si>
  <si>
    <t>tri3</t>
  </si>
  <si>
    <t>Tauxy</t>
  </si>
  <si>
    <t>F</t>
  </si>
  <si>
    <t>my calcs</t>
  </si>
  <si>
    <t>reported</t>
  </si>
  <si>
    <t>radians</t>
  </si>
  <si>
    <t>degrees</t>
  </si>
  <si>
    <t>Compression = positive:</t>
  </si>
  <si>
    <t>C_adj</t>
  </si>
  <si>
    <t>phi_adj</t>
  </si>
  <si>
    <t xml:space="preserve">NOTE: The above equations are for when you have sigma1 and sigma2. If you have sigmax and sigmay, you have to do things differently. </t>
  </si>
  <si>
    <t>tau_xy</t>
  </si>
  <si>
    <t>sigma_x</t>
  </si>
  <si>
    <t>sigma_y</t>
  </si>
  <si>
    <t>sig_mean</t>
  </si>
  <si>
    <t>tau_max</t>
  </si>
  <si>
    <t>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</si>
</sst>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787400</xdr:colOff>
      <xdr:row>1</xdr:row>
      <xdr:rowOff>152400</xdr:rowOff>
    </xdr:from>
    <xdr:to>
      <xdr:col>11</xdr:col>
      <xdr:colOff>787400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6933BA-1980-8D39-54C2-37E502AB3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9400" y="355600"/>
          <a:ext cx="5778500" cy="88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13</xdr:col>
      <xdr:colOff>127000</xdr:colOff>
      <xdr:row>22</xdr:row>
      <xdr:rowOff>18143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76D4B3-9FCD-E932-674E-069D2556B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7500" y="2594429"/>
          <a:ext cx="6731000" cy="1016000"/>
        </a:xfrm>
        <a:prstGeom prst="rect">
          <a:avLst/>
        </a:prstGeom>
      </xdr:spPr>
    </xdr:pic>
    <xdr:clientData/>
  </xdr:twoCellAnchor>
  <xdr:twoCellAnchor>
    <xdr:from>
      <xdr:col>1</xdr:col>
      <xdr:colOff>199572</xdr:colOff>
      <xdr:row>28</xdr:row>
      <xdr:rowOff>27214</xdr:rowOff>
    </xdr:from>
    <xdr:to>
      <xdr:col>7</xdr:col>
      <xdr:colOff>81643</xdr:colOff>
      <xdr:row>36</xdr:row>
      <xdr:rowOff>63500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6E0ADF5-94FA-3248-0245-BEABDEB157D4}"/>
            </a:ext>
          </a:extLst>
        </xdr:cNvPr>
        <xdr:cNvSpPr txBox="1"/>
      </xdr:nvSpPr>
      <xdr:spPr>
        <a:xfrm>
          <a:off x="1025072" y="5615214"/>
          <a:ext cx="4835071" cy="16328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Yield function from docs/fem/overview.md for compression-positive convention: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f = (</a:t>
          </a:r>
          <a:r>
            <a:rPr lang="el-G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σ1 - σ3)/2 - ((σ1 + σ3)/2 *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sin(</a:t>
          </a:r>
          <a:r>
            <a:rPr lang="el-G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φ) +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* cos(</a:t>
          </a:r>
          <a:r>
            <a:rPr lang="el-G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φ))</a:t>
          </a:r>
        </a:p>
        <a:p>
          <a:r>
            <a:rPr lang="el-G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Simplifying: (</a:t>
          </a:r>
          <a:r>
            <a:rPr lang="el-G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σ1 - σ3)/2 =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tau_max, (</a:t>
          </a:r>
          <a:r>
            <a:rPr lang="el-G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σ1 + σ3)/2 =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sig_mean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So: f = tau_max - (sig_mean * sin(</a:t>
          </a:r>
          <a:r>
            <a:rPr lang="el-G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φ) +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* cos(</a:t>
          </a:r>
          <a:r>
            <a:rPr lang="el-G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φ))</a:t>
          </a:r>
        </a:p>
        <a:p>
          <a:r>
            <a:rPr lang="el-G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Yield when f &gt; 0</a:t>
          </a:r>
          <a:b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Principal stresses (compression positive, tension negative)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sig_mean = (sig_x + sig_y) / 2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tau_max = sqrt(((sig_x - sig_y) / 2)**2 + tau_xy**2)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B998-3203-EA46-96BF-D2A23DE0483B}">
  <dimension ref="B2:E45"/>
  <sheetViews>
    <sheetView tabSelected="1" zoomScale="140" zoomScaleNormal="140" workbookViewId="0">
      <selection activeCell="G40" sqref="G40"/>
    </sheetView>
  </sheetViews>
  <sheetFormatPr baseColWidth="10" defaultRowHeight="16" x14ac:dyDescent="0.2"/>
  <sheetData>
    <row r="2" spans="2:5" x14ac:dyDescent="0.2">
      <c r="B2" t="s">
        <v>4</v>
      </c>
      <c r="C2">
        <v>129</v>
      </c>
      <c r="D2" t="s">
        <v>5</v>
      </c>
    </row>
    <row r="3" spans="2:5" x14ac:dyDescent="0.2">
      <c r="B3" t="s">
        <v>7</v>
      </c>
      <c r="C3">
        <v>1.3</v>
      </c>
    </row>
    <row r="5" spans="2:5" x14ac:dyDescent="0.2">
      <c r="B5" t="s">
        <v>2</v>
      </c>
      <c r="C5" s="1">
        <v>312.5</v>
      </c>
    </row>
    <row r="6" spans="2:5" x14ac:dyDescent="0.2">
      <c r="B6" t="s">
        <v>13</v>
      </c>
      <c r="C6" s="1">
        <f>C5/C3</f>
        <v>240.38461538461539</v>
      </c>
    </row>
    <row r="7" spans="2:5" x14ac:dyDescent="0.2">
      <c r="B7" t="s">
        <v>3</v>
      </c>
      <c r="C7">
        <v>20</v>
      </c>
      <c r="D7" t="s">
        <v>11</v>
      </c>
    </row>
    <row r="8" spans="2:5" x14ac:dyDescent="0.2">
      <c r="C8">
        <f>RADIANS(C7)</f>
        <v>0.3490658503988659</v>
      </c>
      <c r="D8" t="s">
        <v>10</v>
      </c>
    </row>
    <row r="9" spans="2:5" x14ac:dyDescent="0.2">
      <c r="B9" t="s">
        <v>14</v>
      </c>
      <c r="C9">
        <f>ATAN(TAN(C8)/C3)</f>
        <v>0.27298747084039748</v>
      </c>
      <c r="E9">
        <f>DEGREES(C9)</f>
        <v>15.641029939105405</v>
      </c>
    </row>
    <row r="11" spans="2:5" x14ac:dyDescent="0.2">
      <c r="B11" t="s">
        <v>0</v>
      </c>
      <c r="C11">
        <v>-1629.4974583400001</v>
      </c>
    </row>
    <row r="12" spans="2:5" x14ac:dyDescent="0.2">
      <c r="B12" t="s">
        <v>1</v>
      </c>
      <c r="C12">
        <v>-3180.7181048100001</v>
      </c>
    </row>
    <row r="13" spans="2:5" x14ac:dyDescent="0.2">
      <c r="B13" t="s">
        <v>6</v>
      </c>
      <c r="C13">
        <v>59.928785939999997</v>
      </c>
    </row>
    <row r="15" spans="2:5" x14ac:dyDescent="0.2">
      <c r="B15" t="s">
        <v>7</v>
      </c>
      <c r="C15">
        <f>(C11+C12)/2*SIN(C9)-(C11-C12)/2-C6*COS(C9)</f>
        <v>-1655.5332921567101</v>
      </c>
      <c r="D15" t="s">
        <v>8</v>
      </c>
    </row>
    <row r="16" spans="2:5" x14ac:dyDescent="0.2">
      <c r="C16">
        <v>-1725.21</v>
      </c>
      <c r="D16" t="s">
        <v>9</v>
      </c>
    </row>
    <row r="19" spans="2:5" x14ac:dyDescent="0.2">
      <c r="B19" t="s">
        <v>12</v>
      </c>
    </row>
    <row r="21" spans="2:5" x14ac:dyDescent="0.2">
      <c r="B21" t="s">
        <v>0</v>
      </c>
      <c r="C21">
        <v>3180.7181048100001</v>
      </c>
      <c r="E21">
        <f>(C21-C22)/2</f>
        <v>775.61032323500001</v>
      </c>
    </row>
    <row r="22" spans="2:5" x14ac:dyDescent="0.2">
      <c r="B22" t="s">
        <v>1</v>
      </c>
      <c r="C22">
        <v>1629.4974583400001</v>
      </c>
    </row>
    <row r="23" spans="2:5" x14ac:dyDescent="0.2">
      <c r="B23" t="s">
        <v>6</v>
      </c>
      <c r="C23">
        <v>-59.928785939999997</v>
      </c>
    </row>
    <row r="25" spans="2:5" x14ac:dyDescent="0.2">
      <c r="B25" t="s">
        <v>7</v>
      </c>
      <c r="C25">
        <f>(C21-C22)/2-((C21+C22)/2*SIN(C9)+C6*COS(C9))</f>
        <v>-104.3126456867102</v>
      </c>
    </row>
    <row r="27" spans="2:5" x14ac:dyDescent="0.2">
      <c r="B27" t="s">
        <v>15</v>
      </c>
    </row>
    <row r="38" spans="2:3" x14ac:dyDescent="0.2">
      <c r="B38" t="s">
        <v>17</v>
      </c>
      <c r="C38">
        <v>3180.7181048100001</v>
      </c>
    </row>
    <row r="39" spans="2:3" x14ac:dyDescent="0.2">
      <c r="B39" t="s">
        <v>18</v>
      </c>
      <c r="C39">
        <v>1629.4974583400001</v>
      </c>
    </row>
    <row r="40" spans="2:3" x14ac:dyDescent="0.2">
      <c r="B40" t="s">
        <v>16</v>
      </c>
      <c r="C40">
        <v>-59.928785939999997</v>
      </c>
    </row>
    <row r="42" spans="2:3" x14ac:dyDescent="0.2">
      <c r="B42" t="s">
        <v>19</v>
      </c>
      <c r="C42">
        <f>(C38+C39)/2</f>
        <v>2405.107781575</v>
      </c>
    </row>
    <row r="43" spans="2:3" x14ac:dyDescent="0.2">
      <c r="B43" t="s">
        <v>20</v>
      </c>
      <c r="C43">
        <f>SQRT(((C38-C39)/2)^2+C40^2)</f>
        <v>777.92212521109309</v>
      </c>
    </row>
    <row r="45" spans="2:3" x14ac:dyDescent="0.2">
      <c r="B45" t="s">
        <v>21</v>
      </c>
      <c r="C45">
        <f>C43-(C42*SIN(C9)+C6*COS(C9))</f>
        <v>-102.00084371061712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2025-08-22T15:31:06Z</dcterms:created>
  <dcterms:modified xsi:type="dcterms:W3CDTF">2025-08-26T16:16:08Z</dcterms:modified>
</cp:coreProperties>
</file>