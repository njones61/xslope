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cursor_projects/xslope/inputs/slope/"/>
    </mc:Choice>
  </mc:AlternateContent>
  <xr:revisionPtr revIDLastSave="0" documentId="13_ncr:1_{6803AFE1-A5BD-0245-8EF7-56DFC95CCA65}" xr6:coauthVersionLast="47" xr6:coauthVersionMax="47" xr10:uidLastSave="{00000000-0000-0000-0000-000000000000}"/>
  <bookViews>
    <workbookView xWindow="7360" yWindow="4740" windowWidth="28040" windowHeight="17440" xr2:uid="{7F55063B-120D-4B45-8378-C9F43BE4B0AA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1" l="1"/>
  <c r="C18" i="1"/>
  <c r="C17" i="1"/>
  <c r="C11" i="1"/>
  <c r="C6" i="1"/>
</calcChain>
</file>

<file path=xl/sharedStrings.xml><?xml version="1.0" encoding="utf-8"?>
<sst xmlns="http://schemas.openxmlformats.org/spreadsheetml/2006/main" count="16" uniqueCount="13">
  <si>
    <t>Sigma1</t>
  </si>
  <si>
    <t>Sigma3</t>
  </si>
  <si>
    <t>C</t>
  </si>
  <si>
    <t>phi</t>
  </si>
  <si>
    <t>Element</t>
  </si>
  <si>
    <t>tri3</t>
  </si>
  <si>
    <t>Tauxy</t>
  </si>
  <si>
    <t>F</t>
  </si>
  <si>
    <t>my calcs</t>
  </si>
  <si>
    <t>reported</t>
  </si>
  <si>
    <t>radians</t>
  </si>
  <si>
    <t>degrees</t>
  </si>
  <si>
    <t>Compression = positive: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</si>
</sst>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787400</xdr:colOff>
      <xdr:row>1</xdr:row>
      <xdr:rowOff>152400</xdr:rowOff>
    </xdr:from>
    <xdr:to>
      <xdr:col>11</xdr:col>
      <xdr:colOff>787400</xdr:colOff>
      <xdr:row>6</xdr:row>
      <xdr:rowOff>25400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6933BA-1980-8D39-54C2-37E502AB3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089400" y="355600"/>
          <a:ext cx="5778500" cy="8890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13</xdr:row>
      <xdr:rowOff>0</xdr:rowOff>
    </xdr:from>
    <xdr:to>
      <xdr:col>13</xdr:col>
      <xdr:colOff>127000</xdr:colOff>
      <xdr:row>18</xdr:row>
      <xdr:rowOff>18143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276D4B3-9FCD-E932-674E-069D2556B0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27500" y="2594429"/>
          <a:ext cx="6731000" cy="1016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0B998-3203-EA46-96BF-D2A23DE0483B}">
  <dimension ref="B2:D20"/>
  <sheetViews>
    <sheetView tabSelected="1" zoomScale="140" zoomScaleNormal="140" workbookViewId="0">
      <selection activeCell="G21" sqref="G21"/>
    </sheetView>
  </sheetViews>
  <sheetFormatPr baseColWidth="10" defaultRowHeight="16" x14ac:dyDescent="0.2"/>
  <sheetData>
    <row r="2" spans="2:4" x14ac:dyDescent="0.2">
      <c r="B2" t="s">
        <v>4</v>
      </c>
      <c r="C2">
        <v>129</v>
      </c>
      <c r="D2" t="s">
        <v>5</v>
      </c>
    </row>
    <row r="4" spans="2:4" x14ac:dyDescent="0.2">
      <c r="B4" t="s">
        <v>2</v>
      </c>
      <c r="C4" s="1">
        <v>312.5</v>
      </c>
    </row>
    <row r="5" spans="2:4" x14ac:dyDescent="0.2">
      <c r="B5" t="s">
        <v>3</v>
      </c>
      <c r="C5">
        <v>20</v>
      </c>
      <c r="D5" t="s">
        <v>11</v>
      </c>
    </row>
    <row r="6" spans="2:4" x14ac:dyDescent="0.2">
      <c r="C6">
        <f>RADIANS(C5)</f>
        <v>0.3490658503988659</v>
      </c>
      <c r="D6" t="s">
        <v>10</v>
      </c>
    </row>
    <row r="7" spans="2:4" x14ac:dyDescent="0.2">
      <c r="B7" t="s">
        <v>0</v>
      </c>
      <c r="C7">
        <v>-1629.4974583400001</v>
      </c>
    </row>
    <row r="8" spans="2:4" x14ac:dyDescent="0.2">
      <c r="B8" t="s">
        <v>1</v>
      </c>
      <c r="C8">
        <v>-3180.7181048100001</v>
      </c>
    </row>
    <row r="9" spans="2:4" x14ac:dyDescent="0.2">
      <c r="B9" t="s">
        <v>6</v>
      </c>
      <c r="C9">
        <v>59.928785939999997</v>
      </c>
    </row>
    <row r="11" spans="2:4" x14ac:dyDescent="0.2">
      <c r="B11" t="s">
        <v>7</v>
      </c>
      <c r="C11">
        <f>(C7+C8)/2*SIN(C6)-(C7-C8)/2-C4*COS(C6)</f>
        <v>-1891.8595753985589</v>
      </c>
      <c r="D11" t="s">
        <v>8</v>
      </c>
    </row>
    <row r="12" spans="2:4" x14ac:dyDescent="0.2">
      <c r="C12">
        <v>-1725.21</v>
      </c>
      <c r="D12" t="s">
        <v>9</v>
      </c>
    </row>
    <row r="15" spans="2:4" x14ac:dyDescent="0.2">
      <c r="B15" t="s">
        <v>12</v>
      </c>
    </row>
    <row r="17" spans="2:3" x14ac:dyDescent="0.2">
      <c r="B17" t="s">
        <v>0</v>
      </c>
      <c r="C17">
        <f>-C8</f>
        <v>3180.7181048100001</v>
      </c>
    </row>
    <row r="18" spans="2:3" x14ac:dyDescent="0.2">
      <c r="B18" t="s">
        <v>1</v>
      </c>
      <c r="C18">
        <f>-C7</f>
        <v>1629.4974583400001</v>
      </c>
    </row>
    <row r="20" spans="2:3" x14ac:dyDescent="0.2">
      <c r="B20" t="s">
        <v>7</v>
      </c>
      <c r="C20">
        <f>(C17-C18)/2-((C17+C18)/2*SIN(C6)+C4*COS(C6))</f>
        <v>-340.63892892855904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2025-08-22T15:31:06Z</dcterms:created>
  <dcterms:modified xsi:type="dcterms:W3CDTF">2025-08-22T15:41:07Z</dcterms:modified>
</cp:coreProperties>
</file>