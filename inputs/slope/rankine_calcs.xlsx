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cursor_projects/xslope/inputs/slope/"/>
    </mc:Choice>
  </mc:AlternateContent>
  <xr:revisionPtr revIDLastSave="0" documentId="8_{950CEB70-417A-C842-A210-F9140FD9095A}" xr6:coauthVersionLast="47" xr6:coauthVersionMax="47" xr10:uidLastSave="{00000000-0000-0000-0000-000000000000}"/>
  <bookViews>
    <workbookView xWindow="34180" yWindow="3040" windowWidth="28040" windowHeight="17440" xr2:uid="{EC4B3C1A-F7F9-804F-A6D7-9A2A22EC81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3" i="1"/>
  <c r="D9" i="1"/>
  <c r="D8" i="1"/>
  <c r="D6" i="1"/>
  <c r="D12" i="1"/>
</calcChain>
</file>

<file path=xl/sharedStrings.xml><?xml version="1.0" encoding="utf-8"?>
<sst xmlns="http://schemas.openxmlformats.org/spreadsheetml/2006/main" count="12" uniqueCount="11">
  <si>
    <t>S1</t>
  </si>
  <si>
    <t>H</t>
  </si>
  <si>
    <t>gamma</t>
  </si>
  <si>
    <t>phi</t>
  </si>
  <si>
    <t>c</t>
  </si>
  <si>
    <t>K0</t>
  </si>
  <si>
    <t>radians</t>
  </si>
  <si>
    <t>Ka</t>
  </si>
  <si>
    <t>S3</t>
  </si>
  <si>
    <t>at rest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</si>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</sst>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4EDD-4DCD-3242-B52B-2919AFCC0D36}">
  <dimension ref="C3:E14"/>
  <sheetViews>
    <sheetView tabSelected="1" workbookViewId="0">
      <selection activeCell="E20" sqref="E20"/>
    </sheetView>
  </sheetViews>
  <sheetFormatPr baseColWidth="10" defaultRowHeight="16" x14ac:dyDescent="0.2"/>
  <sheetData>
    <row r="3" spans="3:5" x14ac:dyDescent="0.2">
      <c r="C3" t="s">
        <v>1</v>
      </c>
      <c r="D3">
        <v>50</v>
      </c>
    </row>
    <row r="4" spans="3:5" x14ac:dyDescent="0.2">
      <c r="C4" t="s">
        <v>2</v>
      </c>
      <c r="D4">
        <v>125</v>
      </c>
    </row>
    <row r="5" spans="3:5" x14ac:dyDescent="0.2">
      <c r="C5" t="s">
        <v>3</v>
      </c>
      <c r="D5">
        <v>20</v>
      </c>
    </row>
    <row r="6" spans="3:5" x14ac:dyDescent="0.2">
      <c r="D6">
        <f>RADIANS(D5)</f>
        <v>0.3490658503988659</v>
      </c>
      <c r="E6" t="s">
        <v>6</v>
      </c>
    </row>
    <row r="7" spans="3:5" x14ac:dyDescent="0.2">
      <c r="C7" t="s">
        <v>4</v>
      </c>
      <c r="D7">
        <v>320</v>
      </c>
    </row>
    <row r="8" spans="3:5" x14ac:dyDescent="0.2">
      <c r="C8" t="s">
        <v>5</v>
      </c>
      <c r="D8">
        <f>1-SIN(D6)</f>
        <v>0.65797985667433134</v>
      </c>
    </row>
    <row r="9" spans="3:5" x14ac:dyDescent="0.2">
      <c r="C9" t="s">
        <v>7</v>
      </c>
      <c r="D9">
        <f>TAN(RADIANS(45-D5/2))^2</f>
        <v>0.49029059656570206</v>
      </c>
    </row>
    <row r="12" spans="3:5" x14ac:dyDescent="0.2">
      <c r="C12" t="s">
        <v>0</v>
      </c>
      <c r="D12">
        <f>D3*D4</f>
        <v>6250</v>
      </c>
    </row>
    <row r="13" spans="3:5" x14ac:dyDescent="0.2">
      <c r="C13" t="s">
        <v>8</v>
      </c>
      <c r="D13">
        <f>D12*D8</f>
        <v>4112.3741042145712</v>
      </c>
      <c r="E13" t="s">
        <v>9</v>
      </c>
    </row>
    <row r="14" spans="3:5" x14ac:dyDescent="0.2">
      <c r="C14" t="s">
        <v>8</v>
      </c>
      <c r="D14">
        <f>D12*D9-2*D7*SQRT(D9)</f>
        <v>2616.1834040814238</v>
      </c>
      <c r="E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2025-08-29T17:19:01Z</dcterms:created>
  <dcterms:modified xsi:type="dcterms:W3CDTF">2025-08-29T17:29:16Z</dcterms:modified>
</cp:coreProperties>
</file>