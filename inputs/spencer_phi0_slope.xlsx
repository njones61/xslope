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040" yWindow="2500" windowWidth="42700" windowHeight="22800" tabRatio="600" firstSheet="0" activeTab="11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plot" sheetId="2" state="visible" r:id="rId2"/>
    <sheet xmlns:r="http://schemas.openxmlformats.org/officeDocument/2006/relationships" name="mat" sheetId="3" state="visible" r:id="rId3"/>
    <sheet xmlns:r="http://schemas.openxmlformats.org/officeDocument/2006/relationships" name="profile" sheetId="4" state="visible" r:id="rId4"/>
    <sheet xmlns:r="http://schemas.openxmlformats.org/officeDocument/2006/relationships" name="polygon" sheetId="5" state="visible" r:id="rId5"/>
    <sheet xmlns:r="http://schemas.openxmlformats.org/officeDocument/2006/relationships" name="piezo" sheetId="6" state="visible" r:id="rId6"/>
    <sheet xmlns:r="http://schemas.openxmlformats.org/officeDocument/2006/relationships" name="circles" sheetId="7" state="visible" r:id="rId7"/>
    <sheet xmlns:r="http://schemas.openxmlformats.org/officeDocument/2006/relationships" name="non-circ" sheetId="8" state="visible" r:id="rId8"/>
    <sheet xmlns:r="http://schemas.openxmlformats.org/officeDocument/2006/relationships" name="dloads" sheetId="9" state="visible" r:id="rId9"/>
    <sheet xmlns:r="http://schemas.openxmlformats.org/officeDocument/2006/relationships" name="dloads (2)" sheetId="10" state="visible" r:id="rId10"/>
    <sheet xmlns:r="http://schemas.openxmlformats.org/officeDocument/2006/relationships" name="reinforce" sheetId="11" state="visible" r:id="rId11"/>
    <sheet xmlns:r="http://schemas.openxmlformats.org/officeDocument/2006/relationships" name="pile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4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 (Body)"/>
      <color theme="0"/>
      <sz val="12"/>
    </font>
    <font>
      <name val="Symbol"/>
      <charset val="2"/>
      <b val="1"/>
      <color theme="0"/>
      <sz val="12"/>
    </font>
  </fonts>
  <fills count="17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11" fillId="5" borderId="0" applyAlignment="1" pivotButton="0" quotePrefix="0" xfId="0">
      <alignment horizontal="center"/>
    </xf>
    <xf numFmtId="0" fontId="13" fillId="0" borderId="0" pivotButton="0" quotePrefix="0" xfId="0"/>
    <xf numFmtId="0" fontId="5" fillId="8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0" fontId="11" fillId="11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2" borderId="1" applyAlignment="1" pivotButton="0" quotePrefix="0" xfId="0">
      <alignment horizontal="center"/>
    </xf>
    <xf numFmtId="0" fontId="15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15" fillId="13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6" fillId="15" borderId="1" applyAlignment="1" pivotButton="0" quotePrefix="0" xfId="0">
      <alignment horizontal="center"/>
    </xf>
    <xf numFmtId="0" fontId="2" fillId="16" borderId="1" applyAlignment="1" pivotButton="0" quotePrefix="0" xfId="0">
      <alignment horizontal="center"/>
    </xf>
    <xf numFmtId="0" fontId="16" fillId="16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4" fillId="2" borderId="0" applyAlignment="1" pivotButton="0" quotePrefix="0" xfId="0">
      <alignment horizontal="center"/>
    </xf>
    <xf numFmtId="0" fontId="10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15" borderId="6" applyAlignment="1" pivotButton="0" quotePrefix="0" xfId="0">
      <alignment horizontal="center"/>
    </xf>
    <xf numFmtId="0" fontId="2" fillId="15" borderId="3" applyAlignment="1" pivotButton="0" quotePrefix="0" xfId="0">
      <alignment horizontal="center"/>
    </xf>
    <xf numFmtId="0" fontId="2" fillId="16" borderId="6" applyAlignment="1" pivotButton="0" quotePrefix="0" xfId="0">
      <alignment horizontal="center"/>
    </xf>
    <xf numFmtId="0" fontId="2" fillId="16" borderId="3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5" pivotButton="0" quotePrefix="0" xfId="0"/>
  </cellXfs>
  <cellStyles count="1">
    <cellStyle name="Normal" xfId="0" builtinId="0"/>
  </cellStyles>
  <dxfs count="9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profile!$A$4</f>
              <strCache>
                <ptCount val="1"/>
                <pt idx="0">
                  <v>Profile Line #1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profile!$A$8:$A$27</f>
              <numCache>
                <formatCode>General</formatCode>
                <ptCount val="20"/>
              </numCache>
            </numRef>
          </xVal>
          <yVal>
            <numRef>
              <f>profile!$B$8:$B$27</f>
              <numCache>
                <formatCode>General</formatCode>
                <ptCount val="20"/>
              </numCache>
            </numRef>
          </yVal>
          <smooth val="0"/>
        </ser>
        <ser>
          <idx val="1"/>
          <order val="1"/>
          <tx>
            <strRef>
              <f>profile!$D$4</f>
              <strCache>
                <ptCount val="1"/>
                <pt idx="0">
                  <v>Profile Line #2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profile!$D$8:$D$27</f>
              <numCache>
                <formatCode>General</formatCode>
                <ptCount val="20"/>
              </numCache>
            </numRef>
          </xVal>
          <yVal>
            <numRef>
              <f>profile!$E$8:$E$27</f>
              <numCache>
                <formatCode>General</formatCode>
                <ptCount val="20"/>
              </numCache>
            </numRef>
          </yVal>
          <smooth val="0"/>
        </ser>
        <ser>
          <idx val="2"/>
          <order val="2"/>
          <tx>
            <strRef>
              <f>profile!$G$4</f>
              <strCache>
                <ptCount val="1"/>
                <pt idx="0">
                  <v>Profile Line #3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profile!$G$8:$G$27</f>
              <numCache>
                <formatCode>General</formatCode>
                <ptCount val="20"/>
              </numCache>
            </numRef>
          </xVal>
          <yVal>
            <numRef>
              <f>profile!$H$8:$H$27</f>
              <numCache>
                <formatCode>General</formatCode>
                <ptCount val="20"/>
              </numCache>
            </numRef>
          </yVal>
          <smooth val="0"/>
        </ser>
        <ser>
          <idx val="3"/>
          <order val="3"/>
          <tx>
            <strRef>
              <f>profile!$J$4</f>
              <strCache>
                <ptCount val="1"/>
                <pt idx="0">
                  <v>Profile Line #4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  <a:prstDash val="solid"/>
              </a:ln>
            </spPr>
          </marker>
          <xVal>
            <numRef>
              <f>profile!$J$8:$J$27</f>
              <numCache>
                <formatCode>General</formatCode>
                <ptCount val="20"/>
              </numCache>
            </numRef>
          </xVal>
          <yVal>
            <numRef>
              <f>profile!$K$8:$K$27</f>
              <numCache>
                <formatCode>General</formatCode>
                <ptCount val="20"/>
              </numCache>
            </numRef>
          </yVal>
          <smooth val="0"/>
        </ser>
        <ser>
          <idx val="4"/>
          <order val="4"/>
          <tx>
            <strRef>
              <f>profile!$M$4</f>
              <strCache>
                <ptCount val="1"/>
                <pt idx="0">
                  <v>Profile Line #5</v>
                </pt>
              </strCache>
            </strRef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xVal>
            <numRef>
              <f>profile!$M$8:$M$27</f>
              <numCache>
                <formatCode>General</formatCode>
                <ptCount val="20"/>
              </numCache>
            </numRef>
          </xVal>
          <yVal>
            <numRef>
              <f>profile!$N$8:$N$27</f>
              <numCache>
                <formatCode>General</formatCode>
                <ptCount val="20"/>
              </numCache>
            </numRef>
          </yVal>
          <smooth val="0"/>
        </ser>
        <ser>
          <idx val="5"/>
          <order val="5"/>
          <tx>
            <strRef>
              <f>profile!$P$4</f>
              <strCache>
                <ptCount val="1"/>
                <pt idx="0">
                  <v>Profile Line #6</v>
                </pt>
              </strCache>
            </strRef>
          </tx>
          <spPr>
            <a:ln xmlns:a="http://schemas.openxmlformats.org/drawingml/2006/main" w="19050" cap="rnd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/>
              </a:solidFill>
              <a:ln xmlns:a="http://schemas.openxmlformats.org/drawingml/2006/main" w="9525">
                <a:solidFill>
                  <a:schemeClr val="accent6"/>
                </a:solidFill>
                <a:prstDash val="solid"/>
              </a:ln>
            </spPr>
          </marker>
          <xVal>
            <numRef>
              <f>profile!$P$8:$P$27</f>
              <numCache>
                <formatCode>General</formatCode>
                <ptCount val="20"/>
              </numCache>
            </numRef>
          </xVal>
          <yVal>
            <numRef>
              <f>profile!$Q$8:$Q$27</f>
              <numCache>
                <formatCode>General</formatCode>
                <ptCount val="20"/>
              </numCache>
            </numRef>
          </yVal>
          <smooth val="0"/>
        </ser>
        <ser>
          <idx val="6"/>
          <order val="6"/>
          <tx>
            <strRef>
              <f>profile!$S$4</f>
              <strCache>
                <ptCount val="1"/>
                <pt idx="0">
                  <v>Profile Line #7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9525">
                <a:solidFill>
                  <a:schemeClr val="accent1">
                    <a:lumMod val="60000"/>
                  </a:schemeClr>
                </a:solidFill>
                <a:prstDash val="solid"/>
              </a:ln>
            </spPr>
          </marker>
          <xVal>
            <numRef>
              <f>profile!$S$8:$S$27</f>
              <numCache>
                <formatCode>General</formatCode>
                <ptCount val="20"/>
              </numCache>
            </numRef>
          </xVal>
          <yVal>
            <numRef>
              <f>profile!$T$8:$T$27</f>
              <numCache>
                <formatCode>General</formatCode>
                <ptCount val="20"/>
              </numCache>
            </numRef>
          </yVal>
          <smooth val="0"/>
        </ser>
        <ser>
          <idx val="7"/>
          <order val="7"/>
          <tx>
            <strRef>
              <f>profile!$V$4</f>
              <strCache>
                <ptCount val="1"/>
                <pt idx="0">
                  <v>Profile Line #8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9525">
                <a:solidFill>
                  <a:schemeClr val="accent2">
                    <a:lumMod val="60000"/>
                  </a:schemeClr>
                </a:solidFill>
                <a:prstDash val="solid"/>
              </a:ln>
            </spPr>
          </marker>
          <xVal>
            <numRef>
              <f>profile!$V$8:$V$27</f>
              <numCache>
                <formatCode>General</formatCode>
                <ptCount val="20"/>
              </numCache>
            </numRef>
          </xVal>
          <yVal>
            <numRef>
              <f>profile!$W$8:$W$27</f>
              <numCache>
                <formatCode>General</formatCode>
                <ptCount val="20"/>
              </numCache>
            </numRef>
          </yVal>
          <smooth val="0"/>
        </ser>
        <ser>
          <idx val="8"/>
          <order val="8"/>
          <tx>
            <strRef>
              <f>profile!$Y$4</f>
              <strCache>
                <ptCount val="1"/>
                <pt idx="0">
                  <v>Profile Line #9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9525">
                <a:solidFill>
                  <a:schemeClr val="accent3">
                    <a:lumMod val="60000"/>
                  </a:schemeClr>
                </a:solidFill>
                <a:prstDash val="solid"/>
              </a:ln>
            </spPr>
          </marker>
          <xVal>
            <numRef>
              <f>profile!$Y$8:$Y$27</f>
              <numCache>
                <formatCode>General</formatCode>
                <ptCount val="20"/>
              </numCache>
            </numRef>
          </xVal>
          <yVal>
            <numRef>
              <f>profile!$Z$8:$Z$27</f>
              <numCache>
                <formatCode>General</formatCode>
                <ptCount val="20"/>
              </numCache>
            </numRef>
          </yVal>
          <smooth val="0"/>
        </ser>
        <ser>
          <idx val="9"/>
          <order val="9"/>
          <tx>
            <strRef>
              <f>profile!$AB$4</f>
              <strCache>
                <ptCount val="1"/>
                <pt idx="0">
                  <v>Profile Line #10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 w="9525">
                <a:solidFill>
                  <a:schemeClr val="accent4">
                    <a:lumMod val="60000"/>
                  </a:schemeClr>
                </a:solidFill>
                <a:prstDash val="solid"/>
              </a:ln>
            </spPr>
          </marker>
          <xVal>
            <numRef>
              <f>profile!$AB$8:$AB$27</f>
              <numCache>
                <formatCode>General</formatCode>
                <ptCount val="20"/>
              </numCache>
            </numRef>
          </xVal>
          <yVal>
            <numRef>
              <f>profile!$AC$8:$AC$27</f>
              <numCache>
                <formatCode>General</formatCode>
                <ptCount val="20"/>
              </numCache>
            </numRef>
          </yVal>
          <smooth val="0"/>
        </ser>
        <ser>
          <idx val="10"/>
          <order val="10"/>
          <tx>
            <strRef>
              <f>profile!$AE$4</f>
              <strCache>
                <ptCount val="1"/>
                <pt idx="0">
                  <v>Profile Line #11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>
                  <a:lumMod val="7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>
                  <a:lumMod val="70000"/>
                </a:schemeClr>
              </a:solidFill>
              <a:ln xmlns:a="http://schemas.openxmlformats.org/drawingml/2006/main" w="9525">
                <a:solidFill>
                  <a:schemeClr val="accent4">
                    <a:lumMod val="70000"/>
                  </a:schemeClr>
                </a:solidFill>
                <a:prstDash val="solid"/>
              </a:ln>
            </spPr>
          </marker>
          <xVal>
            <numRef>
              <f>profile!$AE$8:$AE$27</f>
              <numCache>
                <formatCode>General</formatCode>
                <ptCount val="20"/>
              </numCache>
            </numRef>
          </xVal>
          <yVal>
            <numRef>
              <f>profile!$AF$8:$AF$27</f>
              <numCache>
                <formatCode>General</formatCode>
                <ptCount val="20"/>
              </numCache>
            </numRef>
          </yVal>
          <smooth val="0"/>
        </ser>
        <ser>
          <idx val="11"/>
          <order val="11"/>
          <tx>
            <strRef>
              <f>profile!$AH$4</f>
              <strCache>
                <ptCount val="1"/>
                <pt idx="0">
                  <v>Profile Line #12</v>
                </pt>
              </strCache>
            </strRef>
          </tx>
          <spPr>
            <a:ln xmlns:a="http://schemas.openxmlformats.org/drawingml/2006/main" w="19050" cap="rnd">
              <a:solidFill>
                <a:schemeClr val="accent5">
                  <a:lumMod val="7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>
                  <a:lumMod val="70000"/>
                </a:schemeClr>
              </a:solidFill>
              <a:ln xmlns:a="http://schemas.openxmlformats.org/drawingml/2006/main" w="9525">
                <a:solidFill>
                  <a:schemeClr val="accent5">
                    <a:lumMod val="70000"/>
                  </a:schemeClr>
                </a:solidFill>
                <a:prstDash val="solid"/>
              </a:ln>
            </spPr>
          </marker>
          <xVal>
            <numRef>
              <f>profile!$AH$8:$AH$27</f>
              <numCache>
                <formatCode>General</formatCode>
                <ptCount val="20"/>
              </numCache>
            </numRef>
          </xVal>
          <yVal>
            <numRef>
              <f>profile!$AI$8:$AI$27</f>
              <numCache>
                <formatCode>General</formatCode>
                <ptCount val="20"/>
              </numCache>
            </numRef>
          </yVal>
          <smooth val="0"/>
        </ser>
        <ser>
          <idx val="12"/>
          <order val="12"/>
          <tx>
            <strRef>
              <f>profile!$AK$4</f>
              <strCache>
                <ptCount val="1"/>
                <pt idx="0">
                  <v>Profile Line #13</v>
                </pt>
              </strCache>
            </strRef>
          </tx>
          <spPr>
            <a:ln xmlns:a="http://schemas.openxmlformats.org/drawingml/2006/main" w="19050" cap="rnd">
              <a:solidFill>
                <a:schemeClr val="accent6">
                  <a:lumMod val="7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>
                  <a:lumMod val="70000"/>
                </a:schemeClr>
              </a:solidFill>
              <a:ln xmlns:a="http://schemas.openxmlformats.org/drawingml/2006/main" w="9525">
                <a:solidFill>
                  <a:schemeClr val="accent6">
                    <a:lumMod val="70000"/>
                  </a:schemeClr>
                </a:solidFill>
                <a:prstDash val="solid"/>
              </a:ln>
            </spPr>
          </marker>
          <xVal>
            <numRef>
              <f>profile!$AK$8:$AK$27</f>
              <numCache>
                <formatCode>General</formatCode>
                <ptCount val="20"/>
              </numCache>
            </numRef>
          </xVal>
          <yVal>
            <numRef>
              <f>profile!$AL$8:$AL$27</f>
              <numCache>
                <formatCode>General</formatCode>
                <ptCount val="20"/>
              </numCache>
            </numRef>
          </yVal>
          <smooth val="0"/>
        </ser>
        <ser>
          <idx val="13"/>
          <order val="13"/>
          <tx>
            <strRef>
              <f>profile!$AN$4</f>
              <strCache>
                <ptCount val="1"/>
                <pt idx="0">
                  <v>Profile Line #14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lumMod val="50000"/>
                  <a:lumOff val="50000"/>
                </a:schemeClr>
              </a:solidFill>
              <a:ln xmlns:a="http://schemas.openxmlformats.org/drawingml/2006/main" w="9525">
                <a:solidFill>
                  <a:schemeClr val="accent1">
                    <a:lumMod val="50000"/>
                    <a:lumOff val="50000"/>
                  </a:schemeClr>
                </a:solidFill>
                <a:prstDash val="solid"/>
              </a:ln>
            </spPr>
          </marker>
          <xVal>
            <numRef>
              <f>profile!$AN$8:$AN$27</f>
              <numCache>
                <formatCode>General</formatCode>
                <ptCount val="20"/>
              </numCache>
            </numRef>
          </xVal>
          <yVal>
            <numRef>
              <f>profile!$AO$8:$AO$27</f>
              <numCache>
                <formatCode>General</formatCode>
                <ptCount val="20"/>
              </numCache>
            </numRef>
          </yVal>
          <smooth val="0"/>
        </ser>
        <ser>
          <idx val="14"/>
          <order val="14"/>
          <tx>
            <strRef>
              <f>profile!$AQ$4</f>
              <strCache>
                <ptCount val="1"/>
                <pt idx="0">
                  <v>Profile Line #15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>
                  <a:lumMod val="50000"/>
                  <a:lumOff val="50000"/>
                </a:schemeClr>
              </a:solidFill>
              <a:ln xmlns:a="http://schemas.openxmlformats.org/drawingml/2006/main" w="9525">
                <a:solidFill>
                  <a:schemeClr val="accent2">
                    <a:lumMod val="50000"/>
                    <a:lumOff val="50000"/>
                  </a:schemeClr>
                </a:solidFill>
                <a:prstDash val="solid"/>
              </a:ln>
            </spPr>
          </marker>
          <xVal>
            <numRef>
              <f>profile!$AQ$8:$AQ$27</f>
              <numCache>
                <formatCode>General</formatCode>
                <ptCount val="20"/>
              </numCache>
            </numRef>
          </xVal>
          <yVal>
            <numRef>
              <f>profile!$AR$8:$AR$27</f>
              <numCache>
                <formatCode>General</formatCode>
                <ptCount val="20"/>
              </numCache>
            </numRef>
          </yVal>
          <smooth val="0"/>
        </ser>
        <ser>
          <idx val="15"/>
          <order val="15"/>
          <tx>
            <v>Piezometric Line</v>
          </tx>
          <spPr>
            <a:ln xmlns:a="http://schemas.openxmlformats.org/drawingml/2006/main" w="1905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>
                  <a:lumMod val="60000"/>
                </a:schemeClr>
              </a:solidFill>
              <a:ln xmlns:a="http://schemas.openxmlformats.org/drawingml/2006/main" w="9525">
                <a:solidFill>
                  <a:srgbClr val="00B0F0"/>
                </a:solidFill>
                <a:prstDash val="solid"/>
              </a:ln>
            </spPr>
          </marker>
          <xVal>
            <numRef>
              <f>piezo!$A$4:$A$18</f>
              <numCache>
                <formatCode>General</formatCode>
                <ptCount val="15"/>
              </numCache>
            </numRef>
          </xVal>
          <yVal>
            <numRef>
              <f>piezo!$B$4:$B$18</f>
              <numCache>
                <formatCode>General</formatCode>
                <ptCount val="15"/>
              </numCache>
            </numRef>
          </yVal>
          <smooth val="0"/>
        </ser>
        <ser>
          <idx val="16"/>
          <order val="16"/>
          <tx>
            <v>Piezometric Line #2</v>
          </tx>
          <spPr>
            <a:ln xmlns:a="http://schemas.openxmlformats.org/drawingml/2006/main" w="19050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>
                  <a:lumMod val="50000"/>
                </a:schemeClr>
              </a:solidFill>
              <a:ln xmlns:a="http://schemas.openxmlformats.org/drawingml/2006/main" w="9525">
                <a:solidFill>
                  <a:schemeClr val="accent3">
                    <a:lumMod val="50000"/>
                  </a:schemeClr>
                </a:solidFill>
                <a:prstDash val="solid"/>
              </a:ln>
            </spPr>
          </marker>
          <xVal>
            <numRef>
              <f>piezo!$D$4:$D$18</f>
              <numCache>
                <formatCode>General</formatCode>
                <ptCount val="15"/>
              </numCache>
            </numRef>
          </xVal>
          <yVal>
            <numRef>
              <f>piezo!$E$4:$E$18</f>
              <numCache>
                <formatCode>General</formatCode>
                <ptCount val="15"/>
              </numCache>
            </numRef>
          </yVal>
          <smooth val="0"/>
        </ser>
        <ser>
          <idx val="17"/>
          <order val="17"/>
          <tx>
            <v>Non-Circular Failure Surface</v>
          </tx>
          <spPr>
            <a:ln xmlns:a="http://schemas.openxmlformats.org/drawingml/2006/main" w="1905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9525">
                <a:solidFill>
                  <a:schemeClr val="accent5"/>
                </a:solidFill>
                <a:prstDash val="dash"/>
              </a:ln>
            </spPr>
          </marker>
          <xVal>
            <numRef>
              <f>'non-circ'!$A$3:$A$17</f>
              <numCache>
                <formatCode>General</formatCode>
                <ptCount val="15"/>
              </numCache>
            </numRef>
          </xVal>
          <yVal>
            <numRef>
              <f>'non-circ'!$B$3:$B$17</f>
              <numCache>
                <formatCode>General</formatCode>
                <ptCount val="15"/>
              </numCache>
            </numRef>
          </yVal>
          <smooth val="0"/>
        </ser>
        <ser>
          <idx val="18"/>
          <order val="18"/>
          <tx>
            <strRef>
              <f>dloads!$B$2</f>
              <strCache>
                <ptCount val="1"/>
                <pt idx="0">
                  <v>Distributed Load #1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 w="76200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spPr>
          </marker>
          <xVal>
            <numRef>
              <f>dloads!$B$4:$B$13</f>
              <numCache>
                <formatCode>General</formatCode>
                <ptCount val="10"/>
              </numCache>
            </numRef>
          </xVal>
          <yVal>
            <numRef>
              <f>dloads!$C$4:$C$13</f>
              <numCache>
                <formatCode>General</formatCode>
                <ptCount val="10"/>
              </numCache>
            </numRef>
          </yVal>
          <smooth val="0"/>
        </ser>
        <ser>
          <idx val="19"/>
          <order val="19"/>
          <tx>
            <strRef>
              <f>dloads!$F$2</f>
              <strCache>
                <ptCount val="1"/>
                <pt idx="0">
                  <v>Distributed Load #2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spPr>
          </marker>
          <xVal>
            <numRef>
              <f>dloads!$F$4:$F$13</f>
              <numCache>
                <formatCode>General</formatCode>
                <ptCount val="10"/>
              </numCache>
            </numRef>
          </xVal>
          <yVal>
            <numRef>
              <f>dloads!$G$4:$G$13</f>
              <numCache>
                <formatCode>General</formatCode>
                <ptCount val="10"/>
              </numCache>
            </numRef>
          </yVal>
          <smooth val="0"/>
        </ser>
        <ser>
          <idx val="20"/>
          <order val="20"/>
          <tx>
            <strRef>
              <f>dloads!$J$2</f>
              <strCache>
                <ptCount val="1"/>
                <pt idx="0">
                  <v>Distributed Load #3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spPr>
          </marker>
          <xVal>
            <numRef>
              <f>dloads!$J$4:$J$13</f>
              <numCache>
                <formatCode>General</formatCode>
                <ptCount val="10"/>
              </numCache>
            </numRef>
          </xVal>
          <yVal>
            <numRef>
              <f>dloads!$K$4:$K$13</f>
              <numCache>
                <formatCode>General</formatCode>
                <ptCount val="10"/>
              </numCache>
            </numRef>
          </yVal>
          <smooth val="0"/>
        </ser>
        <ser>
          <idx val="21"/>
          <order val="21"/>
          <tx>
            <strRef>
              <f>dloads!$N$2</f>
              <strCache>
                <ptCount val="1"/>
                <pt idx="0">
                  <v>Distributed Load #4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spPr>
          </marker>
          <xVal>
            <numRef>
              <f>dloads!$N$4:$N$13</f>
              <numCache>
                <formatCode>General</formatCode>
                <ptCount val="10"/>
              </numCache>
            </numRef>
          </xVal>
          <yVal>
            <numRef>
              <f>dloads!$O$4:$O$13</f>
              <numCache>
                <formatCode>General</formatCode>
                <ptCount val="10"/>
              </numCache>
            </numRef>
          </yVal>
          <smooth val="0"/>
        </ser>
        <ser>
          <idx val="22"/>
          <order val="22"/>
          <tx>
            <strRef>
              <f>dloads!$R$2</f>
              <strCache>
                <ptCount val="1"/>
                <pt idx="0">
                  <v>Distributed Load #5</v>
                </pt>
              </strCache>
            </strRef>
          </tx>
          <spPr>
            <a:ln xmlns:a="http://schemas.openxmlformats.org/drawingml/2006/main" w="19050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spPr>
          </marker>
          <xVal>
            <numRef>
              <f>dloads!$R$4:$R$22</f>
              <numCache>
                <formatCode>General</formatCode>
                <ptCount val="19"/>
              </numCache>
            </numRef>
          </xVal>
          <yVal>
            <numRef>
              <f>dloads!$S$4:$S$22</f>
              <numCache>
                <formatCode>General</formatCode>
                <ptCount val="19"/>
              </numCache>
            </numRef>
          </yVal>
          <smooth val="0"/>
        </ser>
        <ser>
          <idx val="23"/>
          <order val="23"/>
          <tx>
            <strRef>
              <f>dloads!$V$2</f>
              <strCache>
                <ptCount val="1"/>
                <pt idx="0">
                  <v>Distributed Load #6</v>
                </pt>
              </strCache>
            </strRef>
          </tx>
          <spPr>
            <a:ln xmlns:a="http://schemas.openxmlformats.org/drawingml/2006/main" w="19050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</a:ln>
            </spPr>
          </marker>
          <xVal>
            <numRef>
              <f>dloads!$V$4:$V$22</f>
              <numCache>
                <formatCode>General</formatCode>
                <ptCount val="19"/>
              </numCache>
            </numRef>
          </xVal>
          <yVal>
            <numRef>
              <f>dloads!$W$4:$W$22</f>
              <numCache>
                <formatCode>General</formatCode>
                <ptCount val="19"/>
              </numCache>
            </numRef>
          </yVal>
          <smooth val="0"/>
        </ser>
        <ser>
          <idx val="24"/>
          <order val="24"/>
          <tx>
            <strRef>
              <f>'dloads (2)'!$B$2:$D$2</f>
              <strCache>
                <ptCount val="1"/>
                <pt idx="0">
                  <v>Distributed Load #1 (2)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lumMod val="80000"/>
                </a:schemeClr>
              </a:solidFill>
              <a:ln xmlns:a="http://schemas.openxmlformats.org/drawingml/2006/main" w="9525">
                <a:solidFill>
                  <a:schemeClr val="accent1">
                    <a:lumMod val="80000"/>
                  </a:schemeClr>
                </a:solidFill>
                <a:prstDash val="solid"/>
              </a:ln>
            </spPr>
          </marker>
          <dPt>
            <idx val="0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8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 w="19050" cap="rnd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dPt>
          <dPt>
            <idx val="1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8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 w="19050" cap="rnd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dPt>
          <dPt>
            <idx val="2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8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 w="19050" cap="rnd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dPt>
          <dPt>
            <idx val="3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8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 w="19050" cap="rnd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dPt>
          <dPt>
            <idx val="4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8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 w="19050" cap="rnd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dPt>
          <dPt>
            <idx val="5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8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 w="19050" cap="rnd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dPt>
          <dPt>
            <idx val="6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8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 w="19050" cap="rnd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dPt>
          <dPt>
            <idx val="7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8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 w="19050" cap="rnd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dPt>
          <dPt>
            <idx val="8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8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 w="19050" cap="rnd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dPt>
          <dPt>
            <idx val="9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80000"/>
                  </a:schemeClr>
                </a:solidFill>
                <a:ln xmlns:a="http://schemas.openxmlformats.org/drawingml/2006/main" w="76200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 w="19050" cap="rnd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dPt>
          <dPt>
            <idx val="10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8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 w="19050" cap="rnd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dPt>
          <dPt>
            <idx val="11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8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 w="19050" cap="rnd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dPt>
          <dPt>
            <idx val="12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8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 w="19050" cap="rnd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dPt>
          <dPt>
            <idx val="13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8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 w="19050" cap="rnd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dPt>
          <dPt>
            <idx val="14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8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 w="19050" cap="rnd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dPt>
          <dPt>
            <idx val="15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8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 w="19050" cap="rnd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dPt>
          <dPt>
            <idx val="16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8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 w="19050" cap="rnd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dPt>
          <dPt>
            <idx val="17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8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 w="19050" cap="rnd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dPt>
          <dPt>
            <idx val="18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8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 w="19050" cap="rnd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dPt>
          <xVal>
            <numRef>
              <f>'dloads (2)'!$B$4:$B$22</f>
              <numCache>
                <formatCode>General</formatCode>
                <ptCount val="19"/>
              </numCache>
            </numRef>
          </xVal>
          <yVal>
            <numRef>
              <f>'dloads (2)'!$C$4:$C$22</f>
              <numCache>
                <formatCode>General</formatCode>
                <ptCount val="19"/>
              </numCache>
            </numRef>
          </yVal>
          <smooth val="0"/>
        </ser>
        <ser>
          <idx val="25"/>
          <order val="25"/>
          <tx>
            <strRef>
              <f>'dloads (2)'!$F$2:$H$2</f>
              <strCache>
                <ptCount val="1"/>
                <pt idx="0">
                  <v>Distributed Load #2 (2)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>
                  <a:lumMod val="80000"/>
                </a:schemeClr>
              </a:solidFill>
              <a:ln xmlns:a="http://schemas.openxmlformats.org/drawingml/2006/main" w="9525">
                <a:solidFill>
                  <a:schemeClr val="accent2">
                    <a:lumMod val="80000"/>
                  </a:schemeClr>
                </a:solidFill>
                <a:prstDash val="solid"/>
              </a:ln>
            </spPr>
          </marker>
          <xVal>
            <numRef>
              <f>'dloads (2)'!$F$4:$F$22</f>
              <numCache>
                <formatCode>General</formatCode>
                <ptCount val="19"/>
              </numCache>
            </numRef>
          </xVal>
          <yVal>
            <numRef>
              <f>'dloads (2)'!$G$4:$G$22</f>
              <numCache>
                <formatCode>General</formatCode>
                <ptCount val="19"/>
              </numCache>
            </numRef>
          </yVal>
          <smooth val="0"/>
        </ser>
        <ser>
          <idx val="26"/>
          <order val="26"/>
          <tx>
            <strRef>
              <f>'dloads (2)'!$J$2:$L$2</f>
              <strCache>
                <ptCount val="1"/>
                <pt idx="0">
                  <v>Distributed Load #3 (2)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'dloads (2)'!$J$4:$J$22</f>
              <numCache>
                <formatCode>General</formatCode>
                <ptCount val="19"/>
              </numCache>
            </numRef>
          </xVal>
          <yVal>
            <numRef>
              <f>'dloads (2)'!$K$4:$K$22</f>
              <numCache>
                <formatCode>General</formatCode>
                <ptCount val="19"/>
              </numCache>
            </numRef>
          </yVal>
          <smooth val="0"/>
        </ser>
        <ser>
          <idx val="27"/>
          <order val="27"/>
          <tx>
            <strRef>
              <f>'dloads (2)'!$N$2:$P$2</f>
              <strCache>
                <ptCount val="1"/>
                <pt idx="0">
                  <v>Distributed Load #4 (2)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'dloads (2)'!$N$4:$N$22</f>
              <numCache>
                <formatCode>General</formatCode>
                <ptCount val="19"/>
              </numCache>
            </numRef>
          </xVal>
          <yVal>
            <numRef>
              <f>'dloads (2)'!$O$4:$O$22</f>
              <numCache>
                <formatCode>General</formatCode>
                <ptCount val="19"/>
              </numCache>
            </numRef>
          </yVal>
          <smooth val="0"/>
        </ser>
        <ser>
          <idx val="28"/>
          <order val="28"/>
          <tx>
            <strRef>
              <f>'dloads (2)'!$R$2:$T$2</f>
              <strCache>
                <ptCount val="1"/>
                <pt idx="0">
                  <v>Distributed Load #5 (2)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'dloads (2)'!$R$4:$R$22</f>
              <numCache>
                <formatCode>General</formatCode>
                <ptCount val="19"/>
              </numCache>
            </numRef>
          </xVal>
          <yVal>
            <numRef>
              <f>'dloads (2)'!$S$4:$S$22</f>
              <numCache>
                <formatCode>General</formatCode>
                <ptCount val="19"/>
              </numCache>
            </numRef>
          </yVal>
          <smooth val="0"/>
        </ser>
        <ser>
          <idx val="29"/>
          <order val="29"/>
          <tx>
            <strRef>
              <f>'dloads (2)'!$V$2:$X$2</f>
              <strCache>
                <ptCount val="1"/>
                <pt idx="0">
                  <v>Distributed Load #6 (2)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  <a:prstDash val="solid"/>
              </a:ln>
            </spPr>
          </marker>
          <xVal>
            <numRef>
              <f>'dloads (2)'!$V$4:$V$22</f>
              <numCache>
                <formatCode>General</formatCode>
                <ptCount val="19"/>
              </numCache>
            </numRef>
          </xVal>
          <yVal>
            <numRef>
              <f>'dloads (2)'!$W$4:$W$22</f>
              <numCache>
                <formatCode>General</formatCode>
                <ptCount val="19"/>
              </numCache>
            </numRef>
          </yVal>
          <smooth val="0"/>
        </ser>
        <ser>
          <idx val="30"/>
          <order val="30"/>
          <tx>
            <v>Reinforce Line #1</v>
          </tx>
          <spPr>
            <a:ln xmlns:a="http://schemas.openxmlformats.org/drawingml/2006/main" w="19050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>
                  <a:lumMod val="80000"/>
                </a:schemeClr>
              </a:solidFill>
              <a:ln xmlns:a="http://schemas.openxmlformats.org/drawingml/2006/main" w="9525">
                <a:solidFill>
                  <a:schemeClr val="accent3">
                    <a:lumMod val="80000"/>
                  </a:schemeClr>
                </a:solidFill>
                <a:prstDash val="solid"/>
              </a:ln>
            </spPr>
          </marker>
          <xVal>
            <numRef>
              <f>(reinforce!$B$3,reinforce!$D$3)</f>
              <numCache>
                <formatCode>General</formatCode>
                <ptCount val="2"/>
              </numCache>
            </numRef>
          </xVal>
          <yVal>
            <numRef>
              <f>(reinforce!$C$3,reinforce!$E$3)</f>
              <numCache>
                <formatCode>General</formatCode>
                <ptCount val="2"/>
              </numCache>
            </numRef>
          </yVal>
          <smooth val="0"/>
        </ser>
        <ser>
          <idx val="31"/>
          <order val="31"/>
          <tx>
            <v>Reinforce Line #2</v>
          </tx>
          <spPr>
            <a:ln xmlns:a="http://schemas.openxmlformats.org/drawingml/2006/main" w="19050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>
                  <a:lumMod val="80000"/>
                </a:schemeClr>
              </a:solidFill>
              <a:ln xmlns:a="http://schemas.openxmlformats.org/drawingml/2006/main" w="9525">
                <a:solidFill>
                  <a:schemeClr val="accent4">
                    <a:lumMod val="80000"/>
                  </a:schemeClr>
                </a:solidFill>
                <a:prstDash val="solid"/>
              </a:ln>
            </spPr>
          </marker>
          <xVal>
            <numRef>
              <f>(reinforce!$B$4,reinforce!$D$4)</f>
              <numCache>
                <formatCode>General</formatCode>
                <ptCount val="2"/>
              </numCache>
            </numRef>
          </xVal>
          <yVal>
            <numRef>
              <f>(reinforce!$C$4,reinforce!$C$4,reinforce!$C$4,reinforce!$E$4)</f>
              <numCache>
                <formatCode>General</formatCode>
                <ptCount val="4"/>
              </numCache>
            </numRef>
          </yVal>
          <smooth val="0"/>
        </ser>
        <ser>
          <idx val="32"/>
          <order val="32"/>
          <tx>
            <v>Reinforce Line #3</v>
          </tx>
          <spPr>
            <a:ln xmlns:a="http://schemas.openxmlformats.org/drawingml/2006/main" w="19050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>
                  <a:lumMod val="80000"/>
                </a:schemeClr>
              </a:solidFill>
              <a:ln xmlns:a="http://schemas.openxmlformats.org/drawingml/2006/main" w="9525">
                <a:solidFill>
                  <a:schemeClr val="accent5">
                    <a:lumMod val="80000"/>
                  </a:schemeClr>
                </a:solidFill>
                <a:prstDash val="solid"/>
              </a:ln>
            </spPr>
          </marker>
          <xVal>
            <numRef>
              <f>(reinforce!$B$5,reinforce!$D$5)</f>
              <numCache>
                <formatCode>General</formatCode>
                <ptCount val="2"/>
              </numCache>
            </numRef>
          </xVal>
          <yVal>
            <numRef>
              <f>(reinforce!$C$5,reinforce!$E$5)</f>
              <numCache>
                <formatCode>General</formatCode>
                <ptCount val="2"/>
              </numCache>
            </numRef>
          </yVal>
          <smooth val="0"/>
        </ser>
        <ser>
          <idx val="33"/>
          <order val="33"/>
          <tx>
            <v>Reinforce Line #4</v>
          </tx>
          <spPr>
            <a:ln xmlns:a="http://schemas.openxmlformats.org/drawingml/2006/main"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>
                  <a:lumMod val="80000"/>
                </a:schemeClr>
              </a:solidFill>
              <a:ln xmlns:a="http://schemas.openxmlformats.org/drawingml/2006/main" w="9525">
                <a:solidFill>
                  <a:schemeClr val="accent6">
                    <a:lumMod val="80000"/>
                  </a:schemeClr>
                </a:solidFill>
                <a:prstDash val="solid"/>
              </a:ln>
            </spPr>
          </marker>
          <xVal>
            <numRef>
              <f>(reinforce!$B$6,reinforce!$D$6)</f>
              <numCache>
                <formatCode>General</formatCode>
                <ptCount val="2"/>
              </numCache>
            </numRef>
          </xVal>
          <yVal>
            <numRef>
              <f>(reinforce!$C$6,reinforce!$E$6)</f>
              <numCache>
                <formatCode>General</formatCode>
                <ptCount val="2"/>
              </numCache>
            </numRef>
          </yVal>
          <smooth val="0"/>
        </ser>
        <ser>
          <idx val="34"/>
          <order val="34"/>
          <tx>
            <v>Reinforce Line #5</v>
          </tx>
          <spPr>
            <a:ln xmlns:a="http://schemas.openxmlformats.org/drawingml/2006/main"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lumMod val="60000"/>
                  <a:lumOff val="40000"/>
                </a:schemeClr>
              </a:solidFill>
              <a:ln xmlns:a="http://schemas.openxmlformats.org/drawingml/2006/main" w="9525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spPr>
          </marker>
          <xVal>
            <numRef>
              <f>(reinforce!$B$7,reinforce!$D$7)</f>
              <numCache>
                <formatCode>General</formatCode>
                <ptCount val="2"/>
              </numCache>
            </numRef>
          </xVal>
          <yVal>
            <numRef>
              <f>(reinforce!$C$7,reinforce!$E$7)</f>
              <numCache>
                <formatCode>General</formatCode>
                <ptCount val="2"/>
              </numCache>
            </numRef>
          </yVal>
          <smooth val="0"/>
        </ser>
        <ser>
          <idx val="35"/>
          <order val="35"/>
          <tx>
            <v>Reinforce Line #6</v>
          </tx>
          <spPr>
            <a:ln xmlns:a="http://schemas.openxmlformats.org/drawingml/2006/main"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>
                  <a:lumMod val="60000"/>
                  <a:lumOff val="40000"/>
                </a:schemeClr>
              </a:solidFill>
              <a:ln xmlns:a="http://schemas.openxmlformats.org/drawingml/2006/main" w="9525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</spPr>
          </marker>
          <xVal>
            <numRef>
              <f>(reinforce!$B$8,reinforce!$D$8)</f>
              <numCache>
                <formatCode>General</formatCode>
                <ptCount val="2"/>
              </numCache>
            </numRef>
          </xVal>
          <yVal>
            <numRef>
              <f>(reinforce!$C$8,reinforce!$E$8)</f>
              <numCache>
                <formatCode>General</formatCode>
                <ptCount val="2"/>
              </numCache>
            </numRef>
          </yVal>
          <smooth val="0"/>
        </ser>
        <ser>
          <idx val="36"/>
          <order val="36"/>
          <tx>
            <v>Reinforce Line #7</v>
          </tx>
          <spPr>
            <a:ln xmlns:a="http://schemas.openxmlformats.org/drawingml/2006/main" w="19050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>
                  <a:lumMod val="60000"/>
                  <a:lumOff val="40000"/>
                </a:schemeClr>
              </a:solidFill>
              <a:ln xmlns:a="http://schemas.openxmlformats.org/drawingml/2006/main" w="952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</spPr>
          </marker>
          <xVal>
            <numRef>
              <f>(reinforce!$B$9,reinforce!$D$9)</f>
              <numCache>
                <formatCode>General</formatCode>
                <ptCount val="2"/>
              </numCache>
            </numRef>
          </xVal>
          <yVal>
            <numRef>
              <f>(reinforce!$C$9,reinforce!$E$9)</f>
              <numCache>
                <formatCode>General</formatCode>
                <ptCount val="2"/>
              </numCache>
            </numRef>
          </yVal>
          <smooth val="0"/>
        </ser>
        <ser>
          <idx val="37"/>
          <order val="37"/>
          <tx>
            <v>Reinforce Line #8</v>
          </tx>
          <spPr>
            <a:ln xmlns:a="http://schemas.openxmlformats.org/drawingml/2006/main" w="1905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>
                  <a:lumMod val="60000"/>
                  <a:lumOff val="40000"/>
                </a:schemeClr>
              </a:solidFill>
              <a:ln xmlns:a="http://schemas.openxmlformats.org/drawingml/2006/main" w="9525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</spPr>
          </marker>
          <xVal>
            <numRef>
              <f>(reinforce!$B$10,reinforce!$D$10)</f>
              <numCache>
                <formatCode>General</formatCode>
                <ptCount val="2"/>
              </numCache>
            </numRef>
          </xVal>
          <yVal>
            <numRef>
              <f>(reinforce!$C$10,reinforce!$E$10)</f>
              <numCache>
                <formatCode>General</formatCode>
                <ptCount val="2"/>
              </numCache>
            </numRef>
          </yVal>
          <smooth val="0"/>
        </ser>
        <ser>
          <idx val="38"/>
          <order val="38"/>
          <tx>
            <v>Reinforce Line #9</v>
          </tx>
          <spPr>
            <a:ln xmlns:a="http://schemas.openxmlformats.org/drawingml/2006/main"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 w="9525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</spPr>
          </marker>
          <xVal>
            <numRef>
              <f>(reinforce!$B$11,reinforce!$D$11)</f>
              <numCache>
                <formatCode>General</formatCode>
                <ptCount val="2"/>
              </numCache>
            </numRef>
          </xVal>
          <yVal>
            <numRef>
              <f>(reinforce!$C$11,reinforce!$E$11)</f>
              <numCache>
                <formatCode>General</formatCode>
                <ptCount val="2"/>
              </numCache>
            </numRef>
          </yVal>
          <smooth val="0"/>
        </ser>
        <ser>
          <idx val="39"/>
          <order val="39"/>
          <tx>
            <v>Reinforce Line #10</v>
          </tx>
          <spPr>
            <a:ln xmlns:a="http://schemas.openxmlformats.org/drawingml/2006/main" w="19050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>
                  <a:lumMod val="60000"/>
                  <a:lumOff val="40000"/>
                </a:schemeClr>
              </a:solidFill>
              <a:ln xmlns:a="http://schemas.openxmlformats.org/drawingml/2006/main" w="9525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</spPr>
          </marker>
          <xVal>
            <numRef>
              <f>(reinforce!$B$12,reinforce!$D$12)</f>
              <numCache>
                <formatCode>General</formatCode>
                <ptCount val="2"/>
              </numCache>
            </numRef>
          </xVal>
          <yVal>
            <numRef>
              <f>(reinforce!$C$12,reinforce!$E$12)</f>
              <numCache>
                <formatCode>General</formatCode>
                <ptCount val="2"/>
              </numCache>
            </numRef>
          </yVal>
          <smooth val="0"/>
        </ser>
        <ser>
          <idx val="40"/>
          <order val="40"/>
          <tx>
            <v>Reinforce Line #11</v>
          </tx>
          <spPr>
            <a:ln xmlns:a="http://schemas.openxmlformats.org/drawingml/2006/main"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lumMod val="50000"/>
                </a:schemeClr>
              </a:solidFill>
              <a:ln xmlns:a="http://schemas.openxmlformats.org/drawingml/2006/main" w="76200">
                <a:solidFill>
                  <a:schemeClr val="accent1">
                    <a:lumMod val="50000"/>
                  </a:schemeClr>
                </a:solidFill>
                <a:prstDash val="solid"/>
              </a:ln>
            </spPr>
          </marker>
          <xVal>
            <numRef>
              <f>(reinforce!$B$13,reinforce!$D$13)</f>
              <numCache>
                <formatCode>General</formatCode>
                <ptCount val="2"/>
              </numCache>
            </numRef>
          </xVal>
          <yVal>
            <numRef>
              <f>(reinforce!$C$13,reinforce!$E$13)</f>
              <numCache>
                <formatCode>General</formatCode>
                <ptCount val="2"/>
              </numCache>
            </numRef>
          </yVal>
          <smooth val="0"/>
        </ser>
        <ser>
          <idx val="41"/>
          <order val="41"/>
          <tx>
            <v>Reinforce Line #12</v>
          </tx>
          <spPr>
            <a:ln xmlns:a="http://schemas.openxmlformats.org/drawingml/2006/main"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>
                  <a:lumMod val="50000"/>
                </a:schemeClr>
              </a:solidFill>
              <a:ln xmlns:a="http://schemas.openxmlformats.org/drawingml/2006/main" w="9525">
                <a:solidFill>
                  <a:schemeClr val="accent2">
                    <a:lumMod val="50000"/>
                  </a:schemeClr>
                </a:solidFill>
                <a:prstDash val="solid"/>
              </a:ln>
            </spPr>
          </marker>
          <xVal>
            <numRef>
              <f>(reinforce!$B$14,reinforce!$D$14)</f>
              <numCache>
                <formatCode>General</formatCode>
                <ptCount val="2"/>
              </numCache>
            </numRef>
          </xVal>
          <yVal>
            <numRef>
              <f>(reinforce!$C$14,reinforce!$E$14)</f>
              <numCache>
                <formatCode>General</formatCode>
                <ptCount val="2"/>
              </numCache>
            </numRef>
          </yVal>
          <smooth val="0"/>
        </ser>
        <ser>
          <idx val="42"/>
          <order val="42"/>
          <tx>
            <v>Reinforce Line #13</v>
          </tx>
          <spPr>
            <a:ln xmlns:a="http://schemas.openxmlformats.org/drawingml/2006/main" w="19050" cap="rnd">
              <a:solidFill>
                <a:schemeClr val="accent2">
                  <a:lumMod val="70000"/>
                  <a:lumOff val="3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>
                  <a:lumMod val="70000"/>
                  <a:lumOff val="30000"/>
                </a:schemeClr>
              </a:solidFill>
              <a:ln xmlns:a="http://schemas.openxmlformats.org/drawingml/2006/main" w="9525">
                <a:solidFill>
                  <a:schemeClr val="accent2">
                    <a:lumMod val="70000"/>
                    <a:lumOff val="30000"/>
                  </a:schemeClr>
                </a:solidFill>
                <a:prstDash val="solid"/>
              </a:ln>
            </spPr>
          </marker>
          <xVal>
            <numRef>
              <f>(reinforce!$B$15,reinforce!$D$15)</f>
              <numCache>
                <formatCode>General</formatCode>
                <ptCount val="2"/>
              </numCache>
            </numRef>
          </xVal>
          <yVal>
            <numRef>
              <f>(reinforce!$C$15,reinforce!$E$15)</f>
              <numCache>
                <formatCode>General</formatCode>
                <ptCount val="2"/>
              </numCache>
            </numRef>
          </yVal>
          <smooth val="0"/>
        </ser>
        <ser>
          <idx val="43"/>
          <order val="43"/>
          <tx>
            <v>Reinforce Line #14</v>
          </tx>
          <spPr>
            <a:ln xmlns:a="http://schemas.openxmlformats.org/drawingml/2006/main" w="19050" cap="rnd">
              <a:solidFill>
                <a:schemeClr val="accent3">
                  <a:lumMod val="70000"/>
                  <a:lumOff val="3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>
                  <a:lumMod val="70000"/>
                  <a:lumOff val="30000"/>
                </a:schemeClr>
              </a:solidFill>
              <a:ln xmlns:a="http://schemas.openxmlformats.org/drawingml/2006/main" w="9525">
                <a:solidFill>
                  <a:schemeClr val="accent3">
                    <a:lumMod val="70000"/>
                    <a:lumOff val="30000"/>
                  </a:schemeClr>
                </a:solidFill>
                <a:prstDash val="solid"/>
              </a:ln>
            </spPr>
          </marker>
          <xVal>
            <numRef>
              <f>(reinforce!$B$16,reinforce!$D$16)</f>
              <numCache>
                <formatCode>General</formatCode>
                <ptCount val="2"/>
              </numCache>
            </numRef>
          </xVal>
          <yVal>
            <numRef>
              <f>(reinforce!$C$16,reinforce!$E$16)</f>
              <numCache>
                <formatCode>General</formatCode>
                <ptCount val="2"/>
              </numCache>
            </numRef>
          </yVal>
          <smooth val="0"/>
        </ser>
        <ser>
          <idx val="44"/>
          <order val="44"/>
          <tx>
            <v>Reinforce Line #15</v>
          </tx>
          <spPr>
            <a:ln xmlns:a="http://schemas.openxmlformats.org/drawingml/2006/main" w="19050" cap="rnd">
              <a:solidFill>
                <a:schemeClr val="accent4">
                  <a:lumMod val="70000"/>
                  <a:lumOff val="3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>
                  <a:lumMod val="70000"/>
                  <a:lumOff val="30000"/>
                </a:schemeClr>
              </a:solidFill>
              <a:ln xmlns:a="http://schemas.openxmlformats.org/drawingml/2006/main" w="9525">
                <a:solidFill>
                  <a:schemeClr val="accent4">
                    <a:lumMod val="70000"/>
                    <a:lumOff val="30000"/>
                  </a:schemeClr>
                </a:solidFill>
                <a:prstDash val="solid"/>
              </a:ln>
            </spPr>
          </marker>
          <xVal>
            <numRef>
              <f>(reinforce!$B$17,reinforce!$D$17)</f>
              <numCache>
                <formatCode>General</formatCode>
                <ptCount val="2"/>
              </numCache>
            </numRef>
          </xVal>
          <yVal>
            <numRef>
              <f>(reinforce!$C$17,reinforce!$E$17)</f>
              <numCache>
                <formatCode>General</formatCode>
                <ptCount val="2"/>
              </numCache>
            </numRef>
          </yVal>
          <smooth val="0"/>
        </ser>
        <ser>
          <idx val="45"/>
          <order val="45"/>
          <tx>
            <v>Reinforce Line #16</v>
          </tx>
          <spPr>
            <a:ln xmlns:a="http://schemas.openxmlformats.org/drawingml/2006/main" w="19050" cap="rnd">
              <a:solidFill>
                <a:schemeClr val="accent5">
                  <a:lumMod val="70000"/>
                  <a:lumOff val="3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>
                  <a:lumMod val="70000"/>
                  <a:lumOff val="30000"/>
                </a:schemeClr>
              </a:solidFill>
              <a:ln xmlns:a="http://schemas.openxmlformats.org/drawingml/2006/main" w="9525">
                <a:solidFill>
                  <a:schemeClr val="accent5">
                    <a:lumMod val="70000"/>
                    <a:lumOff val="30000"/>
                  </a:schemeClr>
                </a:solidFill>
                <a:prstDash val="solid"/>
              </a:ln>
            </spPr>
          </marker>
          <xVal>
            <numRef>
              <f>(reinforce!$B$18,reinforce!$D$18)</f>
              <numCache>
                <formatCode>General</formatCode>
                <ptCount val="2"/>
              </numCache>
            </numRef>
          </xVal>
          <yVal>
            <numRef>
              <f>(reinforce!$C$18,reinforce!$E$18)</f>
              <numCache>
                <formatCode>General</formatCode>
                <ptCount val="2"/>
              </numCache>
            </numRef>
          </yVal>
          <smooth val="0"/>
        </ser>
        <ser>
          <idx val="46"/>
          <order val="46"/>
          <tx>
            <v>Reinforce Line #17</v>
          </tx>
          <spPr>
            <a:ln xmlns:a="http://schemas.openxmlformats.org/drawingml/2006/main" w="19050" cap="rnd">
              <a:solidFill>
                <a:schemeClr val="accent6">
                  <a:lumMod val="70000"/>
                  <a:lumOff val="3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>
                  <a:lumMod val="70000"/>
                  <a:lumOff val="30000"/>
                </a:schemeClr>
              </a:solidFill>
              <a:ln xmlns:a="http://schemas.openxmlformats.org/drawingml/2006/main" w="9525">
                <a:solidFill>
                  <a:schemeClr val="accent6">
                    <a:lumMod val="70000"/>
                    <a:lumOff val="30000"/>
                  </a:schemeClr>
                </a:solidFill>
                <a:prstDash val="solid"/>
              </a:ln>
            </spPr>
          </marker>
          <xVal>
            <numRef>
              <f>(reinforce!$B$19,reinforce!$D$19)</f>
              <numCache>
                <formatCode>General</formatCode>
                <ptCount val="2"/>
              </numCache>
            </numRef>
          </xVal>
          <yVal>
            <numRef>
              <f>(reinforce!$C$19,reinforce!$E$19)</f>
              <numCache>
                <formatCode>General</formatCode>
                <ptCount val="2"/>
              </numCache>
            </numRef>
          </yVal>
          <smooth val="0"/>
        </ser>
        <ser>
          <idx val="47"/>
          <order val="47"/>
          <tx>
            <v>Reinforce Line #18</v>
          </tx>
          <spPr>
            <a:ln xmlns:a="http://schemas.openxmlformats.org/drawingml/2006/main" w="19050" cap="rnd">
              <a:solidFill>
                <a:schemeClr val="accent1">
                  <a:lumMod val="7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lumMod val="70000"/>
                </a:schemeClr>
              </a:solidFill>
              <a:ln xmlns:a="http://schemas.openxmlformats.org/drawingml/2006/main" w="9525">
                <a:solidFill>
                  <a:schemeClr val="accent1">
                    <a:lumMod val="70000"/>
                  </a:schemeClr>
                </a:solidFill>
                <a:prstDash val="solid"/>
              </a:ln>
            </spPr>
          </marker>
          <xVal>
            <numRef>
              <f>(reinforce!$B$20,reinforce!$D$20)</f>
              <numCache>
                <formatCode>General</formatCode>
                <ptCount val="2"/>
              </numCache>
            </numRef>
          </xVal>
          <yVal>
            <numRef>
              <f>(reinforce!$C$20,reinforce!$E$20)</f>
              <numCache>
                <formatCode>General</formatCode>
                <ptCount val="2"/>
              </numCache>
            </numRef>
          </yVal>
          <smooth val="0"/>
        </ser>
        <ser>
          <idx val="48"/>
          <order val="48"/>
          <tx>
            <v>Reinforce Line #19</v>
          </tx>
          <spPr>
            <a:ln xmlns:a="http://schemas.openxmlformats.org/drawingml/2006/main" w="19050" cap="rnd">
              <a:solidFill>
                <a:schemeClr val="accent2">
                  <a:lumMod val="7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>
                  <a:lumMod val="70000"/>
                </a:schemeClr>
              </a:solidFill>
              <a:ln xmlns:a="http://schemas.openxmlformats.org/drawingml/2006/main" w="9525">
                <a:solidFill>
                  <a:schemeClr val="accent2">
                    <a:lumMod val="70000"/>
                  </a:schemeClr>
                </a:solidFill>
                <a:prstDash val="solid"/>
              </a:ln>
            </spPr>
          </marker>
          <xVal>
            <numRef>
              <f>(reinforce!$B$21,reinforce!$D$21)</f>
              <numCache>
                <formatCode>General</formatCode>
                <ptCount val="2"/>
              </numCache>
            </numRef>
          </xVal>
          <yVal>
            <numRef>
              <f>(reinforce!$C$21,reinforce!$E$21)</f>
              <numCache>
                <formatCode>General</formatCode>
                <ptCount val="2"/>
              </numCache>
            </numRef>
          </yVal>
          <smooth val="0"/>
        </ser>
        <ser>
          <idx val="49"/>
          <order val="49"/>
          <tx>
            <v>Reinforce Line #20</v>
          </tx>
          <spPr>
            <a:ln xmlns:a="http://schemas.openxmlformats.org/drawingml/2006/main" w="19050" cap="rnd">
              <a:solidFill>
                <a:schemeClr val="accent3">
                  <a:lumMod val="7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>
                  <a:lumMod val="70000"/>
                </a:schemeClr>
              </a:solidFill>
              <a:ln xmlns:a="http://schemas.openxmlformats.org/drawingml/2006/main" w="9525">
                <a:solidFill>
                  <a:schemeClr val="accent3">
                    <a:lumMod val="70000"/>
                  </a:schemeClr>
                </a:solidFill>
                <a:prstDash val="solid"/>
              </a:ln>
            </spPr>
          </marker>
          <xVal>
            <numRef>
              <f>(reinforce!$B$22,reinforce!$D$22)</f>
              <numCache>
                <formatCode>General</formatCode>
                <ptCount val="2"/>
              </numCache>
            </numRef>
          </xVal>
          <yVal>
            <numRef>
              <f>(reinforce!$C$22,reinforce!$E$22)</f>
              <numCache>
                <formatCode>General</formatCode>
                <ptCount val="2"/>
              </numCache>
            </numRef>
          </yVal>
          <smooth val="0"/>
        </ser>
        <ser>
          <idx val="50"/>
          <order val="50"/>
          <tx>
            <strRef>
              <f>'seep bc'!$B$2</f>
              <strCache>
                <ptCount val="1"/>
                <pt idx="0">
                  <v>Exit Face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>
                  <a:lumMod val="70000"/>
                  <a:lumOff val="3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lumMod val="70000"/>
                  <a:lumOff val="30000"/>
                </a:schemeClr>
              </a:solidFill>
              <a:ln xmlns:a="http://schemas.openxmlformats.org/drawingml/2006/main" w="9525">
                <a:solidFill>
                  <a:schemeClr val="accent1">
                    <a:lumMod val="70000"/>
                    <a:lumOff val="30000"/>
                  </a:schemeClr>
                </a:solidFill>
                <a:prstDash val="solid"/>
              </a:ln>
            </spPr>
          </marker>
          <dPt>
            <idx val="0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70000"/>
                    <a:lumOff val="3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70000"/>
                    <a:lumOff val="3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70000"/>
                    <a:lumOff val="3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3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70000"/>
                    <a:lumOff val="3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4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70000"/>
                    <a:lumOff val="3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70000"/>
                    <a:lumOff val="3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6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70000"/>
                    <a:lumOff val="3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70000"/>
                    <a:lumOff val="3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70000"/>
                    <a:lumOff val="30000"/>
                  </a:schemeClr>
                </a:solidFill>
                <a:ln xmlns:a="http://schemas.openxmlformats.org/drawingml/2006/main" w="76200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9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70000"/>
                    <a:lumOff val="3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10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70000"/>
                    <a:lumOff val="3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11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70000"/>
                    <a:lumOff val="3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12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70000"/>
                    <a:lumOff val="3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13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70000"/>
                    <a:lumOff val="3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14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70000"/>
                    <a:lumOff val="3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15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70000"/>
                    <a:lumOff val="3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16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70000"/>
                    <a:lumOff val="3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17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70000"/>
                    <a:lumOff val="3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xVal>
            <numRef>
              <f>'seep bc'!$B$5:$B$24</f>
              <numCache>
                <formatCode>General</formatCode>
                <ptCount val="20"/>
              </numCache>
            </numRef>
          </xVal>
          <yVal>
            <numRef>
              <f>'seep bc'!$C$5:$C$24</f>
              <numCache>
                <formatCode>General</formatCode>
                <ptCount val="20"/>
              </numCache>
            </numRef>
          </yVal>
          <smooth val="0"/>
        </ser>
        <ser>
          <idx val="51"/>
          <order val="51"/>
          <tx>
            <strRef>
              <f>'seep bc'!$E$2:$F$2</f>
              <strCache>
                <ptCount val="1"/>
                <pt idx="0">
                  <v>Specified Head #1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>
                  <a:lumMod val="50000"/>
                </a:schemeClr>
              </a:solidFill>
              <a:ln xmlns:a="http://schemas.openxmlformats.org/drawingml/2006/main" w="9525">
                <a:solidFill>
                  <a:schemeClr val="accent4">
                    <a:lumMod val="50000"/>
                  </a:schemeClr>
                </a:solidFill>
                <a:prstDash val="solid"/>
              </a:ln>
            </spPr>
          </marker>
          <xVal>
            <numRef>
              <f>'seep bc'!$E$5:$E$24</f>
              <numCache>
                <formatCode>General</formatCode>
                <ptCount val="20"/>
              </numCache>
            </numRef>
          </xVal>
          <yVal>
            <numRef>
              <f>'seep bc'!$F$5:$F$24</f>
              <numCache>
                <formatCode>General</formatCode>
                <ptCount val="20"/>
              </numCache>
            </numRef>
          </yVal>
          <smooth val="0"/>
        </ser>
        <ser>
          <idx val="52"/>
          <order val="52"/>
          <tx>
            <strRef>
              <f>'seep bc'!$H$2:$I$2</f>
              <strCache>
                <ptCount val="1"/>
                <pt idx="0">
                  <v>Specified Head #2</v>
                </pt>
              </strCache>
            </strRef>
          </tx>
          <spPr>
            <a:ln xmlns:a="http://schemas.openxmlformats.org/drawingml/2006/main" w="19050" cap="rnd">
              <a:solidFill>
                <a:schemeClr val="accent5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>
                  <a:lumMod val="50000"/>
                </a:schemeClr>
              </a:solidFill>
              <a:ln xmlns:a="http://schemas.openxmlformats.org/drawingml/2006/main" w="9525">
                <a:solidFill>
                  <a:schemeClr val="accent5">
                    <a:lumMod val="50000"/>
                  </a:schemeClr>
                </a:solidFill>
                <a:prstDash val="solid"/>
              </a:ln>
            </spPr>
          </marker>
          <xVal>
            <numRef>
              <f>'seep bc'!$H$5:$H$24</f>
              <numCache>
                <formatCode>General</formatCode>
                <ptCount val="20"/>
              </numCache>
            </numRef>
          </xVal>
          <yVal>
            <numRef>
              <f>'seep bc'!$I$5:$I$24</f>
              <numCache>
                <formatCode>General</formatCode>
                <ptCount val="20"/>
              </numCache>
            </numRef>
          </yVal>
          <smooth val="0"/>
        </ser>
        <ser>
          <idx val="53"/>
          <order val="53"/>
          <tx>
            <strRef>
              <f>'seep bc'!$K$2:$L$2</f>
              <strCache>
                <ptCount val="1"/>
                <pt idx="0">
                  <v>Specified Head #3</v>
                </pt>
              </strCache>
            </strRef>
          </tx>
          <spPr>
            <a:ln xmlns:a="http://schemas.openxmlformats.org/drawingml/2006/main" w="19050" cap="rnd">
              <a:solidFill>
                <a:schemeClr val="accent6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>
                  <a:lumMod val="50000"/>
                </a:schemeClr>
              </a:solidFill>
              <a:ln xmlns:a="http://schemas.openxmlformats.org/drawingml/2006/main" w="9525">
                <a:solidFill>
                  <a:schemeClr val="accent6">
                    <a:lumMod val="50000"/>
                  </a:schemeClr>
                </a:solidFill>
                <a:prstDash val="solid"/>
              </a:ln>
            </spPr>
          </marker>
          <xVal>
            <numRef>
              <f>'seep bc'!$K$5:$K$24</f>
              <numCache>
                <formatCode>General</formatCode>
                <ptCount val="20"/>
              </numCache>
            </numRef>
          </xVal>
          <yVal>
            <numRef>
              <f>'seep bc'!$L$5:$L$24</f>
              <numCache>
                <formatCode>General</formatCode>
                <ptCount val="20"/>
              </numCache>
            </numRef>
          </yVal>
          <smooth val="0"/>
        </ser>
        <ser>
          <idx val="54"/>
          <order val="54"/>
          <tx>
            <strRef>
              <f>'seep bc'!$N$2:$O$2</f>
              <strCache>
                <ptCount val="1"/>
                <pt idx="0">
                  <v>Specified Head #4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>
                  <a:lumMod val="50000"/>
                  <a:lumOff val="50000"/>
                </a:schemeClr>
              </a:solidFill>
              <a:ln xmlns:a="http://schemas.openxmlformats.org/drawingml/2006/main" w="9525">
                <a:solidFill>
                  <a:schemeClr val="accent3">
                    <a:lumMod val="50000"/>
                    <a:lumOff val="50000"/>
                  </a:schemeClr>
                </a:solidFill>
                <a:prstDash val="solid"/>
              </a:ln>
            </spPr>
          </marker>
          <xVal>
            <numRef>
              <f>'seep bc'!$N$5:$N$24</f>
              <numCache>
                <formatCode>General</formatCode>
                <ptCount val="20"/>
              </numCache>
            </numRef>
          </xVal>
          <yVal>
            <numRef>
              <f>'seep bc'!$O$5:$O$24</f>
              <numCache>
                <formatCode>General</formatCode>
                <ptCount val="20"/>
              </numCache>
            </numRef>
          </yVal>
          <smooth val="0"/>
        </ser>
        <ser>
          <idx val="55"/>
          <order val="55"/>
          <tx>
            <strRef>
              <f>'seep bc'!$Q$2:$R$2</f>
              <strCache>
                <ptCount val="1"/>
                <pt idx="0">
                  <v>Specified Head #5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>
                  <a:lumMod val="50000"/>
                  <a:lumOff val="50000"/>
                </a:schemeClr>
              </a:solidFill>
              <a:ln xmlns:a="http://schemas.openxmlformats.org/drawingml/2006/main" w="9525">
                <a:solidFill>
                  <a:schemeClr val="accent4">
                    <a:lumMod val="50000"/>
                    <a:lumOff val="50000"/>
                  </a:schemeClr>
                </a:solidFill>
                <a:prstDash val="solid"/>
              </a:ln>
            </spPr>
          </marker>
          <xVal>
            <numRef>
              <f>'seep bc'!$Q$5:$Q$24</f>
              <numCache>
                <formatCode>General</formatCode>
                <ptCount val="20"/>
              </numCache>
            </numRef>
          </xVal>
          <yVal>
            <numRef>
              <f>'seep bc'!$R$5:$R$24</f>
              <numCache>
                <formatCode>General</formatCode>
                <ptCount val="20"/>
              </numCache>
            </numRef>
          </yVal>
          <smooth val="0"/>
        </ser>
        <ser>
          <idx val="56"/>
          <order val="56"/>
          <tx>
            <strRef>
              <f>'seep bc (2)'!$B$2</f>
              <strCache>
                <ptCount val="1"/>
                <pt idx="0">
                  <v>Exit Face (2)</v>
                </pt>
              </strCache>
            </strRef>
          </tx>
          <spPr>
            <a:ln xmlns:a="http://schemas.openxmlformats.org/drawingml/2006/main" w="19050" cap="rnd">
              <a:solidFill>
                <a:schemeClr val="accent5"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>
                  <a:lumMod val="50000"/>
                  <a:lumOff val="50000"/>
                </a:schemeClr>
              </a:solidFill>
              <a:ln xmlns:a="http://schemas.openxmlformats.org/drawingml/2006/main" w="9525">
                <a:solidFill>
                  <a:schemeClr val="accent5">
                    <a:lumMod val="50000"/>
                    <a:lumOff val="50000"/>
                  </a:schemeClr>
                </a:solidFill>
                <a:prstDash val="solid"/>
              </a:ln>
            </spPr>
          </marker>
          <xVal>
            <numRef>
              <f>'seep bc (2)'!$B$5:$B$24</f>
              <numCache>
                <formatCode>General</formatCode>
                <ptCount val="20"/>
              </numCache>
            </numRef>
          </xVal>
          <yVal>
            <numRef>
              <f>'seep bc (2)'!$C$5:$C$24</f>
              <numCache>
                <formatCode>General</formatCode>
                <ptCount val="20"/>
              </numCache>
            </numRef>
          </yVal>
          <smooth val="0"/>
        </ser>
        <ser>
          <idx val="57"/>
          <order val="57"/>
          <tx>
            <strRef>
              <f>'seep bc (2)'!$E$2:$F$2</f>
              <strCache>
                <ptCount val="1"/>
                <pt idx="0">
                  <v>Specified Head #1 (2)</v>
                </pt>
              </strCache>
            </strRef>
          </tx>
          <spPr>
            <a:ln xmlns:a="http://schemas.openxmlformats.org/drawingml/2006/main" w="19050" cap="rnd">
              <a:solidFill>
                <a:schemeClr val="accent6"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>
                  <a:lumMod val="50000"/>
                  <a:lumOff val="50000"/>
                </a:schemeClr>
              </a:solidFill>
              <a:ln xmlns:a="http://schemas.openxmlformats.org/drawingml/2006/main" w="9525">
                <a:solidFill>
                  <a:schemeClr val="accent6">
                    <a:lumMod val="50000"/>
                    <a:lumOff val="50000"/>
                  </a:schemeClr>
                </a:solidFill>
                <a:prstDash val="solid"/>
              </a:ln>
            </spPr>
          </marker>
          <xVal>
            <numRef>
              <f>'seep bc (2)'!$E$5:$E$24</f>
              <numCache>
                <formatCode>General</formatCode>
                <ptCount val="20"/>
              </numCache>
            </numRef>
          </xVal>
          <yVal>
            <numRef>
              <f>'seep bc (2)'!$F$5:$F$24</f>
              <numCache>
                <formatCode>General</formatCode>
                <ptCount val="20"/>
              </numCache>
            </numRef>
          </yVal>
          <smooth val="0"/>
        </ser>
        <ser>
          <idx val="58"/>
          <order val="58"/>
          <tx>
            <strRef>
              <f>'seep bc (2)'!$H$2:$I$2</f>
              <strCache>
                <ptCount val="1"/>
                <pt idx="0">
                  <v>Specified Head #2 (2)</v>
                </pt>
              </strCache>
            </strRef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xVal>
            <numRef>
              <f>'seep bc (2)'!$H$5:$H$24</f>
              <numCache>
                <formatCode>General</formatCode>
                <ptCount val="20"/>
              </numCache>
            </numRef>
          </xVal>
          <yVal>
            <numRef>
              <f>'seep bc (2)'!$I$5:$I$24</f>
              <numCache>
                <formatCode>General</formatCode>
                <ptCount val="20"/>
              </numCache>
            </numRef>
          </yVal>
          <smooth val="0"/>
        </ser>
        <ser>
          <idx val="59"/>
          <order val="59"/>
          <tx>
            <strRef>
              <f>'seep bc (2)'!$K$2:$L$2</f>
              <strCache>
                <ptCount val="1"/>
                <pt idx="0">
                  <v>Specified Head #3 (2)</v>
                </pt>
              </strCache>
            </strRef>
          </tx>
          <spPr>
            <a:ln xmlns:a="http://schemas.openxmlformats.org/drawingml/2006/main" w="19050" cap="rnd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/>
              </a:solidFill>
              <a:ln xmlns:a="http://schemas.openxmlformats.org/drawingml/2006/main" w="9525">
                <a:solidFill>
                  <a:schemeClr val="accent6"/>
                </a:solidFill>
                <a:prstDash val="solid"/>
              </a:ln>
            </spPr>
          </marker>
          <xVal>
            <numRef>
              <f>'seep bc (2)'!$K$5:$K$24</f>
              <numCache>
                <formatCode>General</formatCode>
                <ptCount val="20"/>
              </numCache>
            </numRef>
          </xVal>
          <yVal>
            <numRef>
              <f>'seep bc (2)'!$L$5:$L$24</f>
              <numCache>
                <formatCode>General</formatCode>
                <ptCount val="20"/>
              </numCache>
            </numRef>
          </yVal>
          <smooth val="0"/>
        </ser>
        <ser>
          <idx val="60"/>
          <order val="60"/>
          <tx>
            <strRef>
              <f>'seep bc (2)'!$N$2:$O$2</f>
              <strCache>
                <ptCount val="1"/>
                <pt idx="0">
                  <v>Specified Head #4 (2)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9525">
                <a:solidFill>
                  <a:schemeClr val="accent1">
                    <a:lumMod val="60000"/>
                  </a:schemeClr>
                </a:solidFill>
                <a:prstDash val="solid"/>
              </a:ln>
            </spPr>
          </marker>
          <xVal>
            <numRef>
              <f>'seep bc (2)'!$N$5:$N$24</f>
              <numCache>
                <formatCode>General</formatCode>
                <ptCount val="20"/>
              </numCache>
            </numRef>
          </xVal>
          <yVal>
            <numRef>
              <f>'seep bc (2)'!$O$5:$O$24</f>
              <numCache>
                <formatCode>General</formatCode>
                <ptCount val="20"/>
              </numCache>
            </numRef>
          </yVal>
          <smooth val="0"/>
        </ser>
        <ser>
          <idx val="61"/>
          <order val="61"/>
          <tx>
            <strRef>
              <f>'seep bc (2)'!$Q$2:$R$2</f>
              <strCache>
                <ptCount val="1"/>
                <pt idx="0">
                  <v>Specified Head #5 (2)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9525">
                <a:solidFill>
                  <a:schemeClr val="accent2">
                    <a:lumMod val="60000"/>
                  </a:schemeClr>
                </a:solidFill>
                <a:prstDash val="solid"/>
              </a:ln>
            </spPr>
          </marker>
          <xVal>
            <numRef>
              <f>'seep bc (2)'!$Q$5:$Q$24</f>
              <numCache>
                <formatCode>General</formatCode>
                <ptCount val="20"/>
              </numCache>
            </numRef>
          </xVal>
          <yVal>
            <numRef>
              <f>'seep bc (2)'!$R$5:$R$24</f>
              <numCache>
                <formatCode>General</formatCode>
                <ptCount val="20"/>
              </numCache>
            </numRef>
          </yVal>
          <smooth val="0"/>
        </ser>
        <ser>
          <idx val="62"/>
          <order val="62"/>
          <tx>
            <strRef>
              <f>polygon!$A$4</f>
              <strCache>
                <ptCount val="1"/>
                <pt idx="0">
                  <v>Polygon #1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9525">
                <a:solidFill>
                  <a:schemeClr val="accent3">
                    <a:lumMod val="60000"/>
                  </a:schemeClr>
                </a:solidFill>
                <a:prstDash val="solid"/>
              </a:ln>
            </spPr>
          </marker>
          <xVal>
            <numRef>
              <f>polygon!$A$8:$A$27</f>
              <numCache>
                <formatCode>General</formatCode>
                <ptCount val="20"/>
              </numCache>
            </numRef>
          </xVal>
          <yVal>
            <numRef>
              <f>polygon!$B$8:$B$27</f>
              <numCache>
                <formatCode>General</formatCode>
                <ptCount val="20"/>
              </numCache>
            </numRef>
          </yVal>
          <smooth val="0"/>
        </ser>
        <ser>
          <idx val="63"/>
          <order val="63"/>
          <tx>
            <strRef>
              <f>polygon!$D$4</f>
              <strCache>
                <ptCount val="1"/>
                <pt idx="0">
                  <v>Polygon #2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 w="9525">
                <a:solidFill>
                  <a:schemeClr val="accent4">
                    <a:lumMod val="60000"/>
                  </a:schemeClr>
                </a:solidFill>
                <a:prstDash val="solid"/>
              </a:ln>
            </spPr>
          </marker>
          <xVal>
            <numRef>
              <f>polygon!$D$8:$D$27</f>
              <numCache>
                <formatCode>General</formatCode>
                <ptCount val="20"/>
              </numCache>
            </numRef>
          </xVal>
          <yVal>
            <numRef>
              <f>polygon!$E$8:$E$27</f>
              <numCache>
                <formatCode>General</formatCode>
                <ptCount val="20"/>
              </numCache>
            </numRef>
          </yVal>
          <smooth val="0"/>
        </ser>
        <ser>
          <idx val="64"/>
          <order val="64"/>
          <tx>
            <strRef>
              <f>polygon!$G$4</f>
              <strCache>
                <ptCount val="1"/>
                <pt idx="0">
                  <v>Polygon #3</v>
                </pt>
              </strCache>
            </strRef>
          </tx>
          <spPr>
            <a:ln xmlns:a="http://schemas.openxmlformats.org/drawingml/2006/main" w="1905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>
                  <a:lumMod val="60000"/>
                </a:schemeClr>
              </a:solidFill>
              <a:ln xmlns:a="http://schemas.openxmlformats.org/drawingml/2006/main" w="9525">
                <a:solidFill>
                  <a:schemeClr val="accent5">
                    <a:lumMod val="60000"/>
                  </a:schemeClr>
                </a:solidFill>
                <a:prstDash val="solid"/>
              </a:ln>
            </spPr>
          </marker>
          <xVal>
            <numRef>
              <f>polygon!$G$8:$G$27</f>
              <numCache>
                <formatCode>General</formatCode>
                <ptCount val="20"/>
              </numCache>
            </numRef>
          </xVal>
          <yVal>
            <numRef>
              <f>polygon!$H$8:$H$27</f>
              <numCache>
                <formatCode>General</formatCode>
                <ptCount val="20"/>
              </numCache>
            </numRef>
          </yVal>
          <smooth val="0"/>
        </ser>
        <ser>
          <idx val="65"/>
          <order val="65"/>
          <tx>
            <strRef>
              <f>polygon!$J$4</f>
              <strCache>
                <ptCount val="1"/>
                <pt idx="0">
                  <v>Polygon #4</v>
                </pt>
              </strCache>
            </strRef>
          </tx>
          <spPr>
            <a:ln xmlns:a="http://schemas.openxmlformats.org/drawingml/2006/main" w="1905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9525">
                <a:solidFill>
                  <a:schemeClr val="accent6">
                    <a:lumMod val="60000"/>
                  </a:schemeClr>
                </a:solidFill>
                <a:prstDash val="solid"/>
              </a:ln>
            </spPr>
          </marker>
          <xVal>
            <numRef>
              <f>polygon!$J$8:$J$27</f>
              <numCache>
                <formatCode>General</formatCode>
                <ptCount val="20"/>
              </numCache>
            </numRef>
          </xVal>
          <yVal>
            <numRef>
              <f>polygon!$K$8:$K$27</f>
              <numCache>
                <formatCode>General</formatCode>
                <ptCount val="20"/>
              </numCache>
            </numRef>
          </yVal>
          <smooth val="0"/>
        </ser>
        <ser>
          <idx val="66"/>
          <order val="66"/>
          <tx>
            <strRef>
              <f>polygon!$M$4</f>
              <strCache>
                <ptCount val="1"/>
                <pt idx="0">
                  <v>Polygon #5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spPr>
          </marker>
          <xVal>
            <numRef>
              <f>polygon!$M$8:$M$27</f>
              <numCache>
                <formatCode>General</formatCode>
                <ptCount val="20"/>
              </numCache>
            </numRef>
          </xVal>
          <yVal>
            <numRef>
              <f>polygon!$N$8:$N$27</f>
              <numCache>
                <formatCode>General</formatCode>
                <ptCount val="20"/>
              </numCache>
            </numRef>
          </yVal>
          <smooth val="0"/>
        </ser>
        <ser>
          <idx val="67"/>
          <order val="67"/>
          <tx>
            <strRef>
              <f>polygon!$P$4</f>
              <strCache>
                <ptCount val="1"/>
                <pt idx="0">
                  <v>Polygon #6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spPr>
          </marker>
          <xVal>
            <numRef>
              <f>polygon!$P$8:$P$27</f>
              <numCache>
                <formatCode>General</formatCode>
                <ptCount val="20"/>
              </numCache>
            </numRef>
          </xVal>
          <yVal>
            <numRef>
              <f>polygon!$Q$8:$Q$27</f>
              <numCache>
                <formatCode>General</formatCode>
                <ptCount val="20"/>
              </numCache>
            </numRef>
          </yVal>
          <smooth val="0"/>
        </ser>
        <ser>
          <idx val="68"/>
          <order val="68"/>
          <tx>
            <strRef>
              <f>polygon!$S$4</f>
              <strCache>
                <ptCount val="1"/>
                <pt idx="0">
                  <v>Polygon #7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spPr>
          </marker>
          <xVal>
            <numRef>
              <f>polygon!$S$8:$S$27</f>
              <numCache>
                <formatCode>General</formatCode>
                <ptCount val="20"/>
              </numCache>
            </numRef>
          </xVal>
          <yVal>
            <numRef>
              <f>polygon!$T$8:$T$27</f>
              <numCache>
                <formatCode>General</formatCode>
                <ptCount val="20"/>
              </numCache>
            </numRef>
          </yVal>
          <smooth val="0"/>
        </ser>
        <ser>
          <idx val="69"/>
          <order val="69"/>
          <tx>
            <strRef>
              <f>polygon!$V$4</f>
              <strCache>
                <ptCount val="1"/>
                <pt idx="0">
                  <v>Polygon #8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spPr>
          </marker>
          <xVal>
            <numRef>
              <f>polygon!$V$8:$V$27</f>
              <numCache>
                <formatCode>General</formatCode>
                <ptCount val="20"/>
              </numCache>
            </numRef>
          </xVal>
          <yVal>
            <numRef>
              <f>polygon!$W$8:$W$27</f>
              <numCache>
                <formatCode>General</formatCode>
                <ptCount val="20"/>
              </numCache>
            </numRef>
          </yVal>
          <smooth val="0"/>
        </ser>
        <ser>
          <idx val="70"/>
          <order val="70"/>
          <tx>
            <strRef>
              <f>polygon!$Y$4</f>
              <strCache>
                <ptCount val="1"/>
                <pt idx="0">
                  <v>Polygon #9</v>
                </pt>
              </strCache>
            </strRef>
          </tx>
          <spPr>
            <a:ln xmlns:a="http://schemas.openxmlformats.org/drawingml/2006/main" w="19050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spPr>
          </marker>
          <xVal>
            <numRef>
              <f>polygon!$Y$8:$Y$27</f>
              <numCache>
                <formatCode>General</formatCode>
                <ptCount val="20"/>
              </numCache>
            </numRef>
          </xVal>
          <yVal>
            <numRef>
              <f>polygon!$Z$8:$Z$27</f>
              <numCache>
                <formatCode>General</formatCode>
                <ptCount val="20"/>
              </numCache>
            </numRef>
          </yVal>
          <smooth val="0"/>
        </ser>
        <ser>
          <idx val="71"/>
          <order val="71"/>
          <tx>
            <strRef>
              <f>polygon!$AB$4</f>
              <strCache>
                <ptCount val="1"/>
                <pt idx="0">
                  <v>Polygon #10</v>
                </pt>
              </strCache>
            </strRef>
          </tx>
          <spPr>
            <a:ln xmlns:a="http://schemas.openxmlformats.org/drawingml/2006/main" w="19050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</a:ln>
            </spPr>
          </marker>
          <xVal>
            <numRef>
              <f>polygon!$AB$8:$AB$27</f>
              <numCache>
                <formatCode>General</formatCode>
                <ptCount val="20"/>
              </numCache>
            </numRef>
          </xVal>
          <yVal>
            <numRef>
              <f>polygon!$AC$8:$AC$27</f>
              <numCache>
                <formatCode>General</formatCode>
                <ptCount val="20"/>
              </numCache>
            </numRef>
          </yVal>
          <smooth val="0"/>
        </ser>
        <ser>
          <idx val="72"/>
          <order val="72"/>
          <tx>
            <strRef>
              <f>polygon!$AE$4</f>
              <strCache>
                <ptCount val="1"/>
                <pt idx="0">
                  <v>Polygon #11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lumMod val="80000"/>
                </a:schemeClr>
              </a:solidFill>
              <a:ln xmlns:a="http://schemas.openxmlformats.org/drawingml/2006/main" w="9525">
                <a:solidFill>
                  <a:schemeClr val="accent1">
                    <a:lumMod val="80000"/>
                  </a:schemeClr>
                </a:solidFill>
                <a:prstDash val="solid"/>
              </a:ln>
            </spPr>
          </marker>
          <xVal>
            <numRef>
              <f>polygon!$AE$8:$AE$27</f>
              <numCache>
                <formatCode>General</formatCode>
                <ptCount val="20"/>
              </numCache>
            </numRef>
          </xVal>
          <yVal>
            <numRef>
              <f>polygon!$AF$8:$AF$27</f>
              <numCache>
                <formatCode>General</formatCode>
                <ptCount val="20"/>
              </numCache>
            </numRef>
          </yVal>
          <smooth val="0"/>
        </ser>
        <ser>
          <idx val="73"/>
          <order val="73"/>
          <tx>
            <strRef>
              <f>polygon!$AH$4</f>
              <strCache>
                <ptCount val="1"/>
                <pt idx="0">
                  <v>Polygon #12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>
                  <a:lumMod val="80000"/>
                </a:schemeClr>
              </a:solidFill>
              <a:ln xmlns:a="http://schemas.openxmlformats.org/drawingml/2006/main" w="9525">
                <a:solidFill>
                  <a:schemeClr val="accent2">
                    <a:lumMod val="80000"/>
                  </a:schemeClr>
                </a:solidFill>
                <a:prstDash val="solid"/>
              </a:ln>
            </spPr>
          </marker>
          <xVal>
            <numRef>
              <f>polygon!$AH$8:$AH$27</f>
              <numCache>
                <formatCode>General</formatCode>
                <ptCount val="20"/>
              </numCache>
            </numRef>
          </xVal>
          <yVal>
            <numRef>
              <f>polygon!$AI$8:$AI$27</f>
              <numCache>
                <formatCode>General</formatCode>
                <ptCount val="20"/>
              </numCache>
            </numRef>
          </yVal>
          <smooth val="0"/>
        </ser>
        <ser>
          <idx val="74"/>
          <order val="74"/>
          <tx>
            <strRef>
              <f>polygon!$AK$4</f>
              <strCache>
                <ptCount val="1"/>
                <pt idx="0">
                  <v>Polygon #13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>
                  <a:lumMod val="80000"/>
                </a:schemeClr>
              </a:solidFill>
              <a:ln xmlns:a="http://schemas.openxmlformats.org/drawingml/2006/main" w="9525">
                <a:solidFill>
                  <a:schemeClr val="accent3">
                    <a:lumMod val="80000"/>
                  </a:schemeClr>
                </a:solidFill>
                <a:prstDash val="solid"/>
              </a:ln>
            </spPr>
          </marker>
          <xVal>
            <numRef>
              <f>polygon!$AK$8:$AK$27</f>
              <numCache>
                <formatCode>General</formatCode>
                <ptCount val="20"/>
              </numCache>
            </numRef>
          </xVal>
          <yVal>
            <numRef>
              <f>polygon!$AL$8:$AL$27</f>
              <numCache>
                <formatCode>General</formatCode>
                <ptCount val="20"/>
              </numCache>
            </numRef>
          </yVal>
          <smooth val="0"/>
        </ser>
        <ser>
          <idx val="75"/>
          <order val="75"/>
          <tx>
            <strRef>
              <f>polygon!$AN$4</f>
              <strCache>
                <ptCount val="1"/>
                <pt idx="0">
                  <v>Polygon #14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>
                  <a:lumMod val="80000"/>
                </a:schemeClr>
              </a:solidFill>
              <a:ln xmlns:a="http://schemas.openxmlformats.org/drawingml/2006/main" w="9525">
                <a:solidFill>
                  <a:schemeClr val="accent4">
                    <a:lumMod val="80000"/>
                  </a:schemeClr>
                </a:solidFill>
                <a:prstDash val="solid"/>
              </a:ln>
            </spPr>
          </marker>
          <xVal>
            <numRef>
              <f>polygon!$AN$8:$AN$27</f>
              <numCache>
                <formatCode>General</formatCode>
                <ptCount val="20"/>
              </numCache>
            </numRef>
          </xVal>
          <yVal>
            <numRef>
              <f>polygon!$AO$8:$AO$27</f>
              <numCache>
                <formatCode>General</formatCode>
                <ptCount val="20"/>
              </numCache>
            </numRef>
          </yVal>
          <smooth val="0"/>
        </ser>
        <ser>
          <idx val="76"/>
          <order val="76"/>
          <tx>
            <strRef>
              <f>polygon!$AQ$4</f>
              <strCache>
                <ptCount val="1"/>
                <pt idx="0">
                  <v>Polygon #15</v>
                </pt>
              </strCache>
            </strRef>
          </tx>
          <spPr>
            <a:ln xmlns:a="http://schemas.openxmlformats.org/drawingml/2006/main" w="19050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>
                  <a:lumMod val="80000"/>
                </a:schemeClr>
              </a:solidFill>
              <a:ln xmlns:a="http://schemas.openxmlformats.org/drawingml/2006/main" w="9525">
                <a:solidFill>
                  <a:schemeClr val="accent5">
                    <a:lumMod val="80000"/>
                  </a:schemeClr>
                </a:solidFill>
                <a:prstDash val="solid"/>
              </a:ln>
            </spPr>
          </marker>
          <xVal>
            <numRef>
              <f>polygon!$AQ$8:$AQ$27</f>
              <numCache>
                <formatCode>General</formatCode>
                <ptCount val="20"/>
              </numCache>
            </numRef>
          </xVal>
          <yVal>
            <numRef>
              <f>polygon!$AR$8:$AR$27</f>
              <numCache>
                <formatCode>General</formatCode>
                <ptCount val="20"/>
              </numCache>
            </numRef>
          </yVal>
          <smooth val="0"/>
        </ser>
        <ser>
          <idx val="77"/>
          <order val="77"/>
          <tx>
            <v>Pile #1</v>
          </tx>
          <spPr>
            <a:ln xmlns:a="http://schemas.openxmlformats.org/drawingml/2006/main"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>
                  <a:lumMod val="80000"/>
                </a:schemeClr>
              </a:solidFill>
              <a:ln xmlns:a="http://schemas.openxmlformats.org/drawingml/2006/main" w="9525">
                <a:solidFill>
                  <a:schemeClr val="accent6">
                    <a:lumMod val="80000"/>
                  </a:schemeClr>
                </a:solidFill>
                <a:prstDash val="solid"/>
              </a:ln>
            </spPr>
          </marker>
          <xVal>
            <numRef>
              <f>(piles!$C$3,piles!$E$3)</f>
              <numCache>
                <formatCode>General</formatCode>
                <ptCount val="2"/>
              </numCache>
            </numRef>
          </xVal>
          <yVal>
            <numRef>
              <f>(piles!$D$3,piles!$F$3)</f>
              <numCache>
                <formatCode>General</formatCode>
                <ptCount val="2"/>
              </numCache>
            </numRef>
          </yVal>
          <smooth val="0"/>
        </ser>
        <ser>
          <idx val="78"/>
          <order val="78"/>
          <tx>
            <v>Pile #2</v>
          </tx>
          <spPr>
            <a:ln xmlns:a="http://schemas.openxmlformats.org/drawingml/2006/main"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lumMod val="60000"/>
                  <a:lumOff val="40000"/>
                </a:schemeClr>
              </a:solidFill>
              <a:ln xmlns:a="http://schemas.openxmlformats.org/drawingml/2006/main" w="9525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spPr>
          </marker>
          <xVal>
            <numRef>
              <f>(piles!$C$4,piles!$E$4)</f>
              <numCache>
                <formatCode>General</formatCode>
                <ptCount val="2"/>
              </numCache>
            </numRef>
          </xVal>
          <yVal>
            <numRef>
              <f>(piles!$D$4,piles!$F$4)</f>
              <numCache>
                <formatCode>General</formatCode>
                <ptCount val="2"/>
              </numCache>
            </numRef>
          </yVal>
          <smooth val="0"/>
        </ser>
        <ser>
          <idx val="79"/>
          <order val="79"/>
          <tx>
            <v>Pile #3</v>
          </tx>
          <spPr>
            <a:ln xmlns:a="http://schemas.openxmlformats.org/drawingml/2006/main"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>
                  <a:lumMod val="60000"/>
                  <a:lumOff val="40000"/>
                </a:schemeClr>
              </a:solidFill>
              <a:ln xmlns:a="http://schemas.openxmlformats.org/drawingml/2006/main" w="9525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</spPr>
          </marker>
          <xVal>
            <numRef>
              <f>(piles!$C$5,piles!$E$5)</f>
              <numCache>
                <formatCode>General</formatCode>
                <ptCount val="2"/>
              </numCache>
            </numRef>
          </xVal>
          <yVal>
            <numRef>
              <f>(piles!$D$5,piles!$F$5)</f>
              <numCache>
                <formatCode>General</formatCode>
                <ptCount val="2"/>
              </numCache>
            </numRef>
          </yVal>
          <smooth val="0"/>
        </ser>
        <ser>
          <idx val="80"/>
          <order val="80"/>
          <tx>
            <v>Pile #4</v>
          </tx>
          <spPr>
            <a:ln xmlns:a="http://schemas.openxmlformats.org/drawingml/2006/main" w="19050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>
                  <a:lumMod val="60000"/>
                  <a:lumOff val="40000"/>
                </a:schemeClr>
              </a:solidFill>
              <a:ln xmlns:a="http://schemas.openxmlformats.org/drawingml/2006/main" w="952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</spPr>
          </marker>
          <xVal>
            <numRef>
              <f>(piles!$C$6,piles!$E$6)</f>
              <numCache>
                <formatCode>General</formatCode>
                <ptCount val="2"/>
              </numCache>
            </numRef>
          </xVal>
          <yVal>
            <numRef>
              <f>(piles!$D$6,piles!$F$6)</f>
              <numCache>
                <formatCode>General</formatCode>
                <ptCount val="2"/>
              </numCache>
            </numRef>
          </yVal>
          <smooth val="0"/>
        </ser>
        <ser>
          <idx val="81"/>
          <order val="81"/>
          <tx>
            <v>Pile #5</v>
          </tx>
          <spPr>
            <a:ln xmlns:a="http://schemas.openxmlformats.org/drawingml/2006/main" w="1905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>
                  <a:lumMod val="60000"/>
                  <a:lumOff val="40000"/>
                </a:schemeClr>
              </a:solidFill>
              <a:ln xmlns:a="http://schemas.openxmlformats.org/drawingml/2006/main" w="9525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</spPr>
          </marker>
          <xVal>
            <numRef>
              <f>(piles!$C$7,piles!$E$7)</f>
              <numCache>
                <formatCode>General</formatCode>
                <ptCount val="2"/>
              </numCache>
            </numRef>
          </xVal>
          <yVal>
            <numRef>
              <f>(piles!$D$7,piles!$F$7)</f>
              <numCache>
                <formatCode>General</formatCode>
                <ptCount val="2"/>
              </numCache>
            </numRef>
          </yVal>
          <smooth val="0"/>
        </ser>
        <ser>
          <idx val="82"/>
          <order val="82"/>
          <tx>
            <v>Pile #6</v>
          </tx>
          <spPr>
            <a:ln xmlns:a="http://schemas.openxmlformats.org/drawingml/2006/main"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 w="9525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</spPr>
          </marker>
          <xVal>
            <numRef>
              <f>(piles!$C$8,piles!$E$8)</f>
              <numCache>
                <formatCode>General</formatCode>
                <ptCount val="2"/>
              </numCache>
            </numRef>
          </xVal>
          <yVal>
            <numRef>
              <f>(piles!$D$8,piles!$F$8)</f>
              <numCache>
                <formatCode>General</formatCode>
                <ptCount val="2"/>
              </numCache>
            </numRef>
          </yVal>
          <smooth val="0"/>
        </ser>
        <ser>
          <idx val="83"/>
          <order val="83"/>
          <tx>
            <v>Pile #7</v>
          </tx>
          <spPr>
            <a:ln xmlns:a="http://schemas.openxmlformats.org/drawingml/2006/main" w="19050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>
                  <a:lumMod val="60000"/>
                  <a:lumOff val="40000"/>
                </a:schemeClr>
              </a:solidFill>
              <a:ln xmlns:a="http://schemas.openxmlformats.org/drawingml/2006/main" w="9525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</spPr>
          </marker>
          <xVal>
            <numRef>
              <f>(piles!$C$9,piles!$E$9)</f>
              <numCache>
                <formatCode>General</formatCode>
                <ptCount val="2"/>
              </numCache>
            </numRef>
          </xVal>
          <yVal>
            <numRef>
              <f>(piles!$D$9,piles!$F$9)</f>
              <numCache>
                <formatCode>General</formatCode>
                <ptCount val="2"/>
              </numCache>
            </numRef>
          </yVal>
          <smooth val="0"/>
        </ser>
        <ser>
          <idx val="84"/>
          <order val="84"/>
          <tx>
            <v>Pile #8</v>
          </tx>
          <spPr>
            <a:ln xmlns:a="http://schemas.openxmlformats.org/drawingml/2006/main"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lumMod val="50000"/>
                </a:schemeClr>
              </a:solidFill>
              <a:ln xmlns:a="http://schemas.openxmlformats.org/drawingml/2006/main" w="9525">
                <a:solidFill>
                  <a:schemeClr val="accent1">
                    <a:lumMod val="50000"/>
                  </a:schemeClr>
                </a:solidFill>
                <a:prstDash val="solid"/>
              </a:ln>
            </spPr>
          </marker>
          <dPt>
            <idx val="0"/>
            <marker>
              <symbol val="circle"/>
              <size val="5"/>
              <spPr>
                <a:solidFill xmlns:a="http://schemas.openxmlformats.org/drawingml/2006/main">
                  <a:schemeClr val="accent1">
                    <a:lumMod val="50000"/>
                  </a:schemeClr>
                </a:solidFill>
                <a:ln xmlns:a="http://schemas.openxmlformats.org/drawingml/2006/main" w="9525">
                  <a:solidFill>
                    <a:schemeClr val="accent1">
                      <a:lumMod val="5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 w="19050" cap="rnd">
                <a:solidFill>
                  <a:schemeClr val="accent1">
                    <a:lumMod val="50000"/>
                  </a:schemeClr>
                </a:solidFill>
                <a:prstDash val="solid"/>
                <a:round/>
              </a:ln>
            </spPr>
          </dPt>
          <xVal>
            <numRef>
              <f>(piles!$C$10,piles!$E$10)</f>
              <numCache>
                <formatCode>General</formatCode>
                <ptCount val="2"/>
              </numCache>
            </numRef>
          </xVal>
          <yVal>
            <numRef>
              <f>(piles!$D$10,piles!$F$10)</f>
              <numCache>
                <formatCode>General</formatCode>
                <ptCount val="2"/>
              </numCache>
            </numRef>
          </yVal>
          <smooth val="0"/>
        </ser>
        <ser>
          <idx val="85"/>
          <order val="85"/>
          <tx>
            <v>Pile #9</v>
          </tx>
          <spPr>
            <a:ln xmlns:a="http://schemas.openxmlformats.org/drawingml/2006/main"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>
                  <a:lumMod val="50000"/>
                </a:schemeClr>
              </a:solidFill>
              <a:ln xmlns:a="http://schemas.openxmlformats.org/drawingml/2006/main" w="9525">
                <a:solidFill>
                  <a:schemeClr val="accent2">
                    <a:lumMod val="50000"/>
                  </a:schemeClr>
                </a:solidFill>
                <a:prstDash val="solid"/>
              </a:ln>
            </spPr>
          </marker>
          <xVal>
            <numRef>
              <f>(piles!$C$11,piles!$E$11)</f>
              <numCache>
                <formatCode>General</formatCode>
                <ptCount val="2"/>
              </numCache>
            </numRef>
          </xVal>
          <yVal>
            <numRef>
              <f>(piles!$D$11,piles!$F$11)</f>
              <numCache>
                <formatCode>General</formatCode>
                <ptCount val="2"/>
              </numCache>
            </numRef>
          </yVal>
          <smooth val="0"/>
        </ser>
        <ser>
          <idx val="86"/>
          <order val="86"/>
          <tx>
            <v>Pile #10</v>
          </tx>
          <spPr>
            <a:ln xmlns:a="http://schemas.openxmlformats.org/drawingml/2006/main" w="19050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>
                  <a:lumMod val="50000"/>
                </a:schemeClr>
              </a:solidFill>
              <a:ln xmlns:a="http://schemas.openxmlformats.org/drawingml/2006/main" w="9525">
                <a:solidFill>
                  <a:schemeClr val="accent3">
                    <a:lumMod val="50000"/>
                  </a:schemeClr>
                </a:solidFill>
                <a:prstDash val="solid"/>
              </a:ln>
            </spPr>
          </marker>
          <xVal>
            <numRef>
              <f>(piles!$C$12,piles!$E$12)</f>
              <numCache>
                <formatCode>General</formatCode>
                <ptCount val="2"/>
              </numCache>
            </numRef>
          </xVal>
          <yVal>
            <numRef>
              <f>(piles!$D$12,piles!$F$12)</f>
              <numCache>
                <formatCode>General</formatCode>
                <ptCount val="2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7802911"/>
        <axId val="17804623"/>
      </scatterChart>
      <valAx>
        <axId val="17802911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804623"/>
        <crosses val="autoZero"/>
        <crossBetween val="midCat"/>
      </valAx>
      <valAx>
        <axId val="1780462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802911"/>
        <crosses val="autoZero"/>
        <crossBetween val="midCat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589642</colOff>
      <row>1</row>
      <rowOff>190499</rowOff>
    </from>
    <to>
      <col>14</col>
      <colOff>609600</colOff>
      <row>35</row>
      <rowOff>142240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zoomScale="140" zoomScaleNormal="140" workbookViewId="0">
      <selection activeCell="C27" sqref="C27"/>
    </sheetView>
  </sheetViews>
  <sheetFormatPr baseColWidth="10" defaultRowHeight="16"/>
  <cols>
    <col width="5.6640625" customWidth="1" min="1" max="1"/>
    <col width="10.33203125" customWidth="1" min="2" max="2"/>
    <col width="12" customWidth="1" style="1" min="3" max="4"/>
    <col width="7.5" customWidth="1" min="5" max="5"/>
    <col width="52.83203125" bestFit="1" customWidth="1" min="7" max="7"/>
  </cols>
  <sheetData>
    <row r="1" ht="32" customHeight="1">
      <c r="A1" s="7" t="inlineStr">
        <is>
          <t>XSLOPE Input Template</t>
        </is>
      </c>
    </row>
    <row r="3" ht="19" customHeight="1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5" t="n">
        <v>10</v>
      </c>
    </row>
    <row r="7">
      <c r="B7" s="48" t="inlineStr">
        <is>
          <t>Global Options</t>
        </is>
      </c>
      <c r="F7" s="48" t="inlineStr">
        <is>
          <t>Sheet</t>
        </is>
      </c>
      <c r="G7" s="36" t="inlineStr">
        <is>
          <t>Description</t>
        </is>
      </c>
    </row>
    <row r="8">
      <c r="C8" s="14" t="inlineStr">
        <is>
          <t xml:space="preserve">Unit weight of water: </t>
        </is>
      </c>
      <c r="D8" s="1" t="n">
        <v>62.4</v>
      </c>
      <c r="F8" s="1" t="inlineStr">
        <is>
          <t>plot</t>
        </is>
      </c>
      <c r="G8" t="inlineStr">
        <is>
          <t>Plot of geometric inputs from other sheets</t>
        </is>
      </c>
    </row>
    <row r="9">
      <c r="C9" s="14" t="inlineStr">
        <is>
          <t>Tension crack depth:</t>
        </is>
      </c>
      <c r="D9" s="1" t="n">
        <v>0</v>
      </c>
      <c r="F9" s="1" t="inlineStr">
        <is>
          <t>mat</t>
        </is>
      </c>
      <c r="G9" t="inlineStr">
        <is>
          <t>Material properties. One per set per profile line</t>
        </is>
      </c>
    </row>
    <row r="10">
      <c r="C10" s="14" t="inlineStr">
        <is>
          <t>Depth of water in crack:</t>
        </is>
      </c>
      <c r="D10" s="1" t="n">
        <v>0</v>
      </c>
      <c r="F10" s="1" t="inlineStr">
        <is>
          <t>profile</t>
        </is>
      </c>
      <c r="G10" t="inlineStr">
        <is>
          <t>Profile lines describing the slope geometry</t>
        </is>
      </c>
    </row>
    <row r="11">
      <c r="B11" s="1" t="n"/>
      <c r="C11" s="14" t="inlineStr">
        <is>
          <t xml:space="preserve">Seismic coefficient (k): </t>
        </is>
      </c>
      <c r="D11" s="1" t="n">
        <v>0</v>
      </c>
      <c r="F11" s="1" t="inlineStr">
        <is>
          <t>piezo</t>
        </is>
      </c>
      <c r="G11" t="inlineStr">
        <is>
          <t>Piezometric line to define pore pressures</t>
        </is>
      </c>
    </row>
    <row r="12">
      <c r="F12" s="1" t="inlineStr">
        <is>
          <t>circles</t>
        </is>
      </c>
      <c r="G12" t="inlineStr">
        <is>
          <t>Starting  circles for critical circle search</t>
        </is>
      </c>
    </row>
    <row r="13">
      <c r="F13" s="1" t="inlineStr">
        <is>
          <t>noncirc</t>
        </is>
      </c>
      <c r="G13" t="inlineStr">
        <is>
          <t>Non-circular failure surface</t>
        </is>
      </c>
    </row>
    <row r="14">
      <c r="F14" s="1" t="inlineStr">
        <is>
          <t>dloads</t>
        </is>
      </c>
      <c r="G14" t="inlineStr">
        <is>
          <t>Distributed loads</t>
        </is>
      </c>
    </row>
    <row r="15">
      <c r="F15" s="1" t="inlineStr">
        <is>
          <t>dloads (2)</t>
        </is>
      </c>
      <c r="G15" t="inlineStr">
        <is>
          <t>Distributed loads for stage 2 of multistage analysis</t>
        </is>
      </c>
    </row>
    <row r="16">
      <c r="F16" s="1" t="inlineStr">
        <is>
          <t>reinforce</t>
        </is>
      </c>
      <c r="G16" t="inlineStr">
        <is>
          <t>Reinforcement lines</t>
        </is>
      </c>
    </row>
    <row r="17">
      <c r="B17" s="1" t="n"/>
      <c r="F17" s="1" t="inlineStr">
        <is>
          <t>seep bc</t>
        </is>
      </c>
      <c r="G17" s="9" t="inlineStr">
        <is>
          <t>Seepage boundary conditions</t>
        </is>
      </c>
    </row>
    <row r="18">
      <c r="F18" s="1" t="inlineStr">
        <is>
          <t>seep bc (2)</t>
        </is>
      </c>
      <c r="G18" s="9" t="inlineStr">
        <is>
          <t>Seepage boundary conditions for stage 2 of multistage analysis</t>
        </is>
      </c>
    </row>
    <row r="20">
      <c r="F20" s="1" t="n"/>
    </row>
    <row r="23">
      <c r="B23" s="1" t="n"/>
    </row>
    <row r="24">
      <c r="B24" s="1" t="n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topLeftCell="B1" zoomScale="125" zoomScaleNormal="140" workbookViewId="0">
      <selection activeCell="Q41" sqref="Q41"/>
    </sheetView>
  </sheetViews>
  <sheetFormatPr baseColWidth="10" defaultRowHeight="16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X50"/>
  <sheetViews>
    <sheetView showGridLines="0" zoomScale="140" zoomScaleNormal="140" workbookViewId="0">
      <selection activeCell="M13" sqref="M13"/>
    </sheetView>
  </sheetViews>
  <sheetFormatPr baseColWidth="10" defaultRowHeight="16"/>
  <cols>
    <col width="7" customWidth="1" style="1" min="1" max="1"/>
    <col width="17.33203125" customWidth="1" style="1" min="2" max="2"/>
    <col width="8.5" customWidth="1" style="1" min="3" max="9"/>
    <col width="8.5" customWidth="1" min="10" max="13"/>
    <col width="10.83203125" customWidth="1" min="14" max="17"/>
    <col width="10.83203125" customWidth="1" style="1" min="23" max="23"/>
  </cols>
  <sheetData>
    <row r="2">
      <c r="C2" s="6" t="inlineStr">
        <is>
          <t>Strength options</t>
        </is>
      </c>
      <c r="J2" s="6" t="inlineStr">
        <is>
          <t>Pore presssue (u) options</t>
        </is>
      </c>
      <c r="O2" s="6" t="n"/>
    </row>
    <row r="3">
      <c r="C3" s="1" t="inlineStr">
        <is>
          <t>mc</t>
        </is>
      </c>
      <c r="D3" t="inlineStr">
        <is>
          <t>Traditional Mohr-Coulomb failure envelope (c and phi)</t>
        </is>
      </c>
      <c r="J3" s="1" t="inlineStr">
        <is>
          <t>none</t>
        </is>
      </c>
      <c r="K3" t="inlineStr">
        <is>
          <t>No pore pressures (total stress analysis)</t>
        </is>
      </c>
      <c r="O3" s="14" t="n"/>
    </row>
    <row r="4">
      <c r="C4" s="1" t="inlineStr">
        <is>
          <t>cp</t>
        </is>
      </c>
      <c r="D4" t="inlineStr">
        <is>
          <t>c/p ratio with reference elevation</t>
        </is>
      </c>
      <c r="J4" s="1" t="inlineStr">
        <is>
          <t>piezo</t>
        </is>
      </c>
      <c r="K4" t="inlineStr">
        <is>
          <t>Use piezometric line</t>
        </is>
      </c>
      <c r="O4" s="14" t="n"/>
    </row>
    <row r="5">
      <c r="J5" s="1" t="inlineStr">
        <is>
          <t>seep</t>
        </is>
      </c>
      <c r="K5" s="9" t="inlineStr">
        <is>
          <t>Use seepage solution</t>
        </is>
      </c>
      <c r="O5" s="14" t="n"/>
    </row>
    <row r="6">
      <c r="J6" s="1" t="n"/>
      <c r="K6" s="1" t="n"/>
      <c r="P6" s="1" t="n"/>
      <c r="Q6" s="1" t="n"/>
    </row>
    <row r="7">
      <c r="C7" s="49" t="inlineStr">
        <is>
          <t>Base Values</t>
        </is>
      </c>
      <c r="K7" s="1" t="n"/>
      <c r="L7" s="49" t="inlineStr">
        <is>
          <t>Standard Deviations</t>
        </is>
      </c>
      <c r="R7" s="49" t="inlineStr">
        <is>
          <t>Seepage</t>
        </is>
      </c>
      <c r="W7" s="49" t="inlineStr">
        <is>
          <t>Stress</t>
        </is>
      </c>
    </row>
    <row r="8">
      <c r="A8" s="20" t="inlineStr">
        <is>
          <t>mat</t>
        </is>
      </c>
      <c r="B8" s="20" t="inlineStr">
        <is>
          <t>name</t>
        </is>
      </c>
      <c r="C8" s="26" t="inlineStr">
        <is>
          <t>g</t>
        </is>
      </c>
      <c r="D8" s="21" t="inlineStr">
        <is>
          <t>option</t>
        </is>
      </c>
      <c r="E8" s="21" t="inlineStr">
        <is>
          <t>c</t>
        </is>
      </c>
      <c r="F8" s="26" t="inlineStr">
        <is>
          <t>f</t>
        </is>
      </c>
      <c r="G8" s="21" t="inlineStr">
        <is>
          <t>c/p</t>
        </is>
      </c>
      <c r="H8" s="21" t="inlineStr">
        <is>
          <t>r-elev</t>
        </is>
      </c>
      <c r="I8" s="21" t="inlineStr">
        <is>
          <t>d</t>
        </is>
      </c>
      <c r="J8" s="21" t="inlineStr">
        <is>
          <t>psi</t>
        </is>
      </c>
      <c r="K8" s="21" t="inlineStr">
        <is>
          <t>u</t>
        </is>
      </c>
      <c r="L8" s="22" t="inlineStr">
        <is>
          <t>s(g)</t>
        </is>
      </c>
      <c r="M8" s="22" t="inlineStr">
        <is>
          <t>s(c)</t>
        </is>
      </c>
      <c r="N8" s="23" t="inlineStr">
        <is>
          <t>s(f)</t>
        </is>
      </c>
      <c r="O8" s="22" t="inlineStr">
        <is>
          <t>s(c/p)</t>
        </is>
      </c>
      <c r="P8" s="22" t="inlineStr">
        <is>
          <t>s(d)</t>
        </is>
      </c>
      <c r="Q8" s="23" t="inlineStr">
        <is>
          <t>s(psi)</t>
        </is>
      </c>
      <c r="R8" s="25" t="inlineStr">
        <is>
          <t>k1</t>
        </is>
      </c>
      <c r="S8" s="25" t="inlineStr">
        <is>
          <t>k2</t>
        </is>
      </c>
      <c r="T8" s="25" t="inlineStr">
        <is>
          <t>alpha</t>
        </is>
      </c>
      <c r="U8" s="25" t="inlineStr">
        <is>
          <t>kr0</t>
        </is>
      </c>
      <c r="V8" s="25" t="inlineStr">
        <is>
          <t>h0</t>
        </is>
      </c>
      <c r="W8" s="29" t="inlineStr">
        <is>
          <t>E</t>
        </is>
      </c>
      <c r="X8" s="30" t="inlineStr">
        <is>
          <t>n</t>
        </is>
      </c>
    </row>
    <row r="9">
      <c r="A9" s="3" t="n">
        <v>1</v>
      </c>
      <c r="B9" s="3" t="inlineStr">
        <is>
          <t>clay</t>
        </is>
      </c>
      <c r="C9" s="3" t="n">
        <v>124</v>
      </c>
      <c r="D9" s="3" t="inlineStr">
        <is>
          <t>mc</t>
        </is>
      </c>
      <c r="E9" s="3" t="n">
        <v>500</v>
      </c>
      <c r="F9" s="3" t="n">
        <v>0</v>
      </c>
      <c r="G9" s="3" t="n"/>
      <c r="H9" s="3" t="n"/>
      <c r="I9" s="3" t="n"/>
      <c r="J9" s="3" t="n"/>
      <c r="K9" s="3" t="inlineStr">
        <is>
          <t>none</t>
        </is>
      </c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>
      <c r="A10" s="3" t="n">
        <v>2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>
      <c r="A11" s="3" t="n">
        <v>3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>
      <c r="A12" s="3" t="n">
        <v>4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>
      <c r="A13" s="3" t="n">
        <v>5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>
      <c r="A14" s="3" t="n">
        <v>6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>
      <c r="A15" s="3" t="n">
        <v>7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>
      <c r="A16" s="3" t="n">
        <v>8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>
      <c r="A17" s="3" t="n">
        <v>9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>
      <c r="A18" s="3" t="n">
        <v>10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>
      <c r="A19" s="3" t="n">
        <v>11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>
      <c r="A20" s="3" t="n">
        <v>12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  <row r="21">
      <c r="A21" s="3" t="n">
        <v>13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</row>
    <row r="22">
      <c r="A22" s="3" t="n">
        <v>14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</row>
    <row r="23">
      <c r="A23" s="3" t="n">
        <v>15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</row>
    <row r="24"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</row>
    <row r="25">
      <c r="J25" s="1" t="n"/>
      <c r="K25" s="1" t="n"/>
      <c r="L25" s="1" t="n"/>
      <c r="M25" s="1" t="n"/>
      <c r="N25" s="1" t="n"/>
      <c r="O25" s="1" t="n"/>
      <c r="P25" s="1" t="n"/>
      <c r="Q25" s="1" t="n"/>
    </row>
    <row r="26">
      <c r="J26" s="1" t="n"/>
      <c r="K26" s="1" t="n"/>
      <c r="L26" s="1" t="n"/>
      <c r="M26" s="1" t="n"/>
      <c r="N26" s="1" t="n"/>
      <c r="O26" s="1" t="n"/>
      <c r="P26" s="1" t="n"/>
      <c r="Q26" s="1" t="n"/>
    </row>
    <row r="27">
      <c r="J27" s="1" t="n"/>
      <c r="K27" s="1" t="n"/>
      <c r="L27" s="1" t="n"/>
      <c r="M27" s="1" t="n"/>
      <c r="N27" s="1" t="n"/>
      <c r="O27" s="1" t="n"/>
      <c r="P27" s="1" t="n"/>
      <c r="Q27" s="1" t="n"/>
    </row>
    <row r="28">
      <c r="J28" s="1" t="n"/>
      <c r="K28" s="1" t="n"/>
      <c r="L28" s="1" t="n"/>
      <c r="M28" s="1" t="n"/>
      <c r="N28" s="1" t="n"/>
      <c r="O28" s="1" t="n"/>
      <c r="P28" s="1" t="n"/>
      <c r="Q28" s="1" t="n"/>
    </row>
    <row r="29">
      <c r="J29" s="1" t="n"/>
      <c r="K29" s="1" t="n"/>
      <c r="L29" s="1" t="n"/>
      <c r="M29" s="1" t="n"/>
      <c r="N29" s="1" t="n"/>
      <c r="O29" s="1" t="n"/>
      <c r="P29" s="1" t="n"/>
      <c r="Q29" s="1" t="n"/>
    </row>
    <row r="30">
      <c r="J30" s="1" t="n"/>
      <c r="K30" s="1" t="n"/>
      <c r="L30" s="1" t="n"/>
      <c r="M30" s="1" t="n"/>
      <c r="N30" s="1" t="n"/>
      <c r="O30" s="1" t="n"/>
      <c r="P30" s="1" t="n"/>
      <c r="Q30" s="1" t="n"/>
    </row>
    <row r="31">
      <c r="J31" s="1" t="n"/>
      <c r="K31" s="1" t="n"/>
      <c r="L31" s="1" t="n"/>
      <c r="M31" s="1" t="n"/>
      <c r="N31" s="1" t="n"/>
      <c r="O31" s="1" t="n"/>
      <c r="P31" s="1" t="n"/>
      <c r="Q31" s="1" t="n"/>
    </row>
    <row r="32">
      <c r="J32" s="1" t="n"/>
      <c r="K32" s="1" t="n"/>
      <c r="L32" s="1" t="n"/>
      <c r="M32" s="1" t="n"/>
      <c r="N32" s="1" t="n"/>
      <c r="O32" s="1" t="n"/>
      <c r="P32" s="1" t="n"/>
      <c r="Q32" s="1" t="n"/>
    </row>
    <row r="33">
      <c r="J33" s="1" t="n"/>
      <c r="K33" s="1" t="n"/>
      <c r="L33" s="1" t="n"/>
      <c r="M33" s="1" t="n"/>
      <c r="N33" s="1" t="n"/>
      <c r="O33" s="1" t="n"/>
      <c r="P33" s="1" t="n"/>
      <c r="Q33" s="1" t="n"/>
    </row>
    <row r="34">
      <c r="J34" s="1" t="n"/>
      <c r="K34" s="1" t="n"/>
      <c r="L34" s="1" t="n"/>
      <c r="M34" s="1" t="n"/>
      <c r="N34" s="1" t="n"/>
      <c r="O34" s="1" t="n"/>
      <c r="P34" s="1" t="n"/>
      <c r="Q34" s="1" t="n"/>
    </row>
    <row r="35">
      <c r="J35" s="1" t="n"/>
      <c r="K35" s="1" t="n"/>
      <c r="L35" s="1" t="n"/>
      <c r="M35" s="1" t="n"/>
      <c r="N35" s="1" t="n"/>
      <c r="O35" s="1" t="n"/>
      <c r="P35" s="1" t="n"/>
      <c r="Q35" s="1" t="n"/>
    </row>
    <row r="36">
      <c r="J36" s="1" t="n"/>
      <c r="K36" s="1" t="n"/>
      <c r="L36" s="1" t="n"/>
      <c r="M36" s="1" t="n"/>
      <c r="N36" s="1" t="n"/>
      <c r="O36" s="1" t="n"/>
      <c r="P36" s="1" t="n"/>
      <c r="Q36" s="1" t="n"/>
    </row>
    <row r="37">
      <c r="J37" s="1" t="n"/>
      <c r="K37" s="1" t="n"/>
      <c r="L37" s="1" t="n"/>
      <c r="M37" s="1" t="n"/>
      <c r="N37" s="1" t="n"/>
      <c r="O37" s="1" t="n"/>
      <c r="P37" s="1" t="n"/>
      <c r="Q37" s="1" t="n"/>
    </row>
    <row r="38">
      <c r="J38" s="1" t="n"/>
      <c r="K38" s="1" t="n"/>
      <c r="L38" s="1" t="n"/>
      <c r="M38" s="1" t="n"/>
      <c r="N38" s="1" t="n"/>
      <c r="O38" s="1" t="n"/>
      <c r="P38" s="1" t="n"/>
      <c r="Q38" s="1" t="n"/>
    </row>
    <row r="39">
      <c r="J39" s="1" t="n"/>
      <c r="K39" s="1" t="n"/>
      <c r="L39" s="1" t="n"/>
      <c r="M39" s="1" t="n"/>
      <c r="N39" s="1" t="n"/>
      <c r="O39" s="1" t="n"/>
      <c r="P39" s="1" t="n"/>
      <c r="Q39" s="1" t="n"/>
    </row>
    <row r="40">
      <c r="J40" s="1" t="n"/>
      <c r="K40" s="1" t="n"/>
      <c r="L40" s="1" t="n"/>
      <c r="M40" s="1" t="n"/>
      <c r="N40" s="1" t="n"/>
      <c r="O40" s="1" t="n"/>
      <c r="P40" s="1" t="n"/>
      <c r="Q40" s="1" t="n"/>
    </row>
    <row r="41">
      <c r="J41" s="1" t="n"/>
      <c r="K41" s="1" t="n"/>
      <c r="L41" s="1" t="n"/>
      <c r="M41" s="1" t="n"/>
      <c r="N41" s="1" t="n"/>
      <c r="O41" s="1" t="n"/>
      <c r="P41" s="1" t="n"/>
      <c r="Q41" s="1" t="n"/>
    </row>
    <row r="42">
      <c r="J42" s="1" t="n"/>
      <c r="K42" s="1" t="n"/>
      <c r="L42" s="1" t="n"/>
      <c r="M42" s="1" t="n"/>
      <c r="N42" s="1" t="n"/>
      <c r="O42" s="1" t="n"/>
      <c r="P42" s="1" t="n"/>
      <c r="Q42" s="1" t="n"/>
    </row>
    <row r="43">
      <c r="J43" s="1" t="n"/>
      <c r="K43" s="1" t="n"/>
      <c r="L43" s="1" t="n"/>
      <c r="M43" s="1" t="n"/>
      <c r="N43" s="1" t="n"/>
      <c r="O43" s="1" t="n"/>
      <c r="P43" s="1" t="n"/>
      <c r="Q43" s="1" t="n"/>
    </row>
    <row r="44">
      <c r="J44" s="1" t="n"/>
      <c r="K44" s="1" t="n"/>
      <c r="L44" s="1" t="n"/>
      <c r="M44" s="1" t="n"/>
      <c r="N44" s="1" t="n"/>
      <c r="O44" s="1" t="n"/>
      <c r="P44" s="1" t="n"/>
      <c r="Q44" s="1" t="n"/>
    </row>
    <row r="45">
      <c r="J45" s="1" t="n"/>
      <c r="K45" s="1" t="n"/>
      <c r="L45" s="1" t="n"/>
      <c r="M45" s="1" t="n"/>
      <c r="N45" s="1" t="n"/>
      <c r="O45" s="1" t="n"/>
      <c r="P45" s="1" t="n"/>
      <c r="Q45" s="1" t="n"/>
    </row>
    <row r="46">
      <c r="J46" s="1" t="n"/>
      <c r="K46" s="1" t="n"/>
      <c r="L46" s="1" t="n"/>
      <c r="M46" s="1" t="n"/>
      <c r="N46" s="1" t="n"/>
      <c r="O46" s="1" t="n"/>
      <c r="P46" s="1" t="n"/>
      <c r="Q46" s="1" t="n"/>
    </row>
    <row r="47">
      <c r="J47" s="1" t="n"/>
      <c r="K47" s="1" t="n"/>
      <c r="L47" s="1" t="n"/>
      <c r="M47" s="1" t="n"/>
      <c r="N47" s="1" t="n"/>
      <c r="O47" s="1" t="n"/>
      <c r="P47" s="1" t="n"/>
      <c r="Q47" s="1" t="n"/>
    </row>
    <row r="48">
      <c r="J48" s="1" t="n"/>
      <c r="K48" s="1" t="n"/>
      <c r="L48" s="1" t="n"/>
      <c r="M48" s="1" t="n"/>
      <c r="N48" s="1" t="n"/>
      <c r="O48" s="1" t="n"/>
      <c r="P48" s="1" t="n"/>
      <c r="Q48" s="1" t="n"/>
    </row>
    <row r="49">
      <c r="J49" s="1" t="n"/>
      <c r="K49" s="1" t="n"/>
      <c r="L49" s="1" t="n"/>
      <c r="M49" s="1" t="n"/>
      <c r="N49" s="1" t="n"/>
      <c r="O49" s="1" t="n"/>
      <c r="P49" s="1" t="n"/>
      <c r="Q49" s="1" t="n"/>
    </row>
    <row r="50">
      <c r="J50" s="1" t="n"/>
      <c r="K50" s="1" t="n"/>
      <c r="L50" s="1" t="n"/>
      <c r="M50" s="1" t="n"/>
      <c r="N50" s="1" t="n"/>
      <c r="O50" s="1" t="n"/>
      <c r="P50" s="1" t="n"/>
      <c r="Q50" s="1" t="n"/>
    </row>
  </sheetData>
  <mergeCells count="4">
    <mergeCell ref="W7:X7"/>
    <mergeCell ref="L7:Q7"/>
    <mergeCell ref="R7:V7"/>
    <mergeCell ref="C7:J7"/>
  </mergeCells>
  <conditionalFormatting sqref="F9:F50">
    <cfRule type="expression" priority="3" dxfId="3">
      <formula>$D9="cp"</formula>
    </cfRule>
  </conditionalFormatting>
  <conditionalFormatting sqref="G9:H50">
    <cfRule type="expression" priority="2" dxfId="4">
      <formula>$D9="mc"</formula>
    </cfRule>
  </conditionalFormatting>
  <conditionalFormatting sqref="I9:J50">
    <cfRule type="expression" priority="4" dxfId="3">
      <formula>$D9="cp"</formula>
    </cfRule>
  </conditionalFormatting>
  <conditionalFormatting sqref="N9:N50">
    <cfRule type="expression" priority="6" dxfId="3">
      <formula>$D9="cp"</formula>
    </cfRule>
  </conditionalFormatting>
  <conditionalFormatting sqref="O9:O50">
    <cfRule type="expression" priority="13" dxfId="4">
      <formula>$D9="mc"</formula>
    </cfRule>
  </conditionalFormatting>
  <conditionalFormatting sqref="P9:Q50">
    <cfRule type="expression" priority="8" dxfId="3">
      <formula>$D9="cp"</formula>
    </cfRule>
  </conditionalFormatting>
  <dataValidations count="2">
    <dataValidation sqref="D9:D50" showDropDown="0" showInputMessage="1" showErrorMessage="1" allowBlank="1" type="list">
      <formula1>$C$3:$C$4</formula1>
    </dataValidation>
    <dataValidation sqref="K9:K50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7"/>
  <sheetViews>
    <sheetView showGridLines="0" zoomScale="140" zoomScaleNormal="140" workbookViewId="0">
      <selection activeCell="A8" sqref="A8:B10"/>
    </sheetView>
  </sheetViews>
  <sheetFormatPr baseColWidth="10" defaultRowHeight="16"/>
  <cols>
    <col width="10.83203125" customWidth="1" style="1" min="1" max="2"/>
    <col width="3.83203125" customWidth="1" style="1" min="3" max="3"/>
    <col width="10.83203125" customWidth="1" style="1" min="4" max="5"/>
    <col width="3.83203125" customWidth="1" style="1" min="6" max="6"/>
    <col width="10.83203125" customWidth="1" style="1" min="7" max="8"/>
    <col width="3.83203125" customWidth="1" style="1" min="9" max="9"/>
    <col width="10.83203125" customWidth="1" style="1" min="10" max="11"/>
    <col width="3.83203125" customWidth="1" style="1" min="12" max="12"/>
    <col width="10.83203125" customWidth="1" style="1" min="13" max="14"/>
    <col width="3.83203125" customWidth="1" min="15" max="15"/>
    <col width="3.83203125" customWidth="1" min="18" max="18"/>
    <col width="3.83203125" customWidth="1" min="21" max="21"/>
    <col width="3.83203125" customWidth="1" min="24" max="24"/>
    <col width="3.83203125" customWidth="1" min="27" max="27"/>
    <col width="3.83203125" customWidth="1" min="30" max="30"/>
    <col width="3.83203125" customWidth="1" min="33" max="33"/>
    <col width="3.83203125" customWidth="1" min="36" max="36"/>
    <col width="3.83203125" customWidth="1" min="39" max="39"/>
    <col width="3.83203125" customWidth="1" min="42" max="42"/>
  </cols>
  <sheetData>
    <row r="2">
      <c r="A2" s="5" t="inlineStr">
        <is>
          <t>Max Depth:</t>
        </is>
      </c>
      <c r="B2" s="3" t="n">
        <v>0</v>
      </c>
      <c r="D2" s="27" t="inlineStr">
        <is>
          <t>max depth defines the elevation of a horizontal line that is treated as the bottom of the profile</t>
        </is>
      </c>
    </row>
    <row r="4">
      <c r="A4" s="50" t="inlineStr">
        <is>
          <t>Profile Line #1</t>
        </is>
      </c>
      <c r="D4" s="50" t="inlineStr">
        <is>
          <t>Profile Line #2</t>
        </is>
      </c>
      <c r="G4" s="50" t="inlineStr">
        <is>
          <t>Profile Line #3</t>
        </is>
      </c>
      <c r="J4" s="50" t="inlineStr">
        <is>
          <t>Profile Line #4</t>
        </is>
      </c>
      <c r="M4" s="50" t="inlineStr">
        <is>
          <t>Profile Line #5</t>
        </is>
      </c>
      <c r="P4" s="50" t="inlineStr">
        <is>
          <t>Profile Line #6</t>
        </is>
      </c>
      <c r="R4" s="1" t="n"/>
      <c r="S4" s="50" t="inlineStr">
        <is>
          <t>Profile Line #7</t>
        </is>
      </c>
      <c r="U4" s="1" t="n"/>
      <c r="V4" s="50" t="inlineStr">
        <is>
          <t>Profile Line #8</t>
        </is>
      </c>
      <c r="X4" s="1" t="n"/>
      <c r="Y4" s="50" t="inlineStr">
        <is>
          <t>Profile Line #9</t>
        </is>
      </c>
      <c r="AA4" s="1" t="n"/>
      <c r="AB4" s="50" t="inlineStr">
        <is>
          <t>Profile Line #10</t>
        </is>
      </c>
      <c r="AE4" s="50" t="inlineStr">
        <is>
          <t>Profile Line #11</t>
        </is>
      </c>
      <c r="AG4" s="1" t="n"/>
      <c r="AH4" s="50" t="inlineStr">
        <is>
          <t>Profile Line #12</t>
        </is>
      </c>
      <c r="AJ4" s="1" t="n"/>
      <c r="AK4" s="50" t="inlineStr">
        <is>
          <t>Profile Line #13</t>
        </is>
      </c>
      <c r="AM4" s="1" t="n"/>
      <c r="AN4" s="50" t="inlineStr">
        <is>
          <t>Profile Line #14</t>
        </is>
      </c>
      <c r="AP4" s="1" t="n"/>
      <c r="AQ4" s="50" t="inlineStr">
        <is>
          <t>Profile Line #15</t>
        </is>
      </c>
    </row>
    <row r="5">
      <c r="A5" s="41" t="inlineStr">
        <is>
          <t>Mat ID:</t>
        </is>
      </c>
      <c r="B5" s="42" t="n">
        <v>1</v>
      </c>
      <c r="D5" s="41" t="inlineStr">
        <is>
          <t>Mat ID:</t>
        </is>
      </c>
      <c r="E5" s="42" t="n">
        <v>2</v>
      </c>
      <c r="G5" s="41" t="inlineStr">
        <is>
          <t>Mat ID:</t>
        </is>
      </c>
      <c r="H5" s="42" t="n">
        <v>3</v>
      </c>
      <c r="J5" s="41" t="inlineStr">
        <is>
          <t>Mat ID:</t>
        </is>
      </c>
      <c r="K5" s="42" t="n">
        <v>4</v>
      </c>
      <c r="M5" s="41" t="inlineStr">
        <is>
          <t>Mat ID:</t>
        </is>
      </c>
      <c r="N5" s="42" t="n">
        <v>5</v>
      </c>
      <c r="P5" s="41" t="inlineStr">
        <is>
          <t>Mat ID:</t>
        </is>
      </c>
      <c r="Q5" s="42" t="n">
        <v>6</v>
      </c>
      <c r="R5" s="1" t="n"/>
      <c r="S5" s="41" t="inlineStr">
        <is>
          <t>Mat ID:</t>
        </is>
      </c>
      <c r="T5" s="42" t="n">
        <v>7</v>
      </c>
      <c r="U5" s="1" t="n"/>
      <c r="V5" s="41" t="inlineStr">
        <is>
          <t>Mat ID:</t>
        </is>
      </c>
      <c r="W5" s="42" t="n">
        <v>8</v>
      </c>
      <c r="X5" s="1" t="n"/>
      <c r="Y5" s="41" t="inlineStr">
        <is>
          <t>Mat ID:</t>
        </is>
      </c>
      <c r="Z5" s="42" t="n">
        <v>9</v>
      </c>
      <c r="AA5" s="1" t="n"/>
      <c r="AB5" s="41" t="inlineStr">
        <is>
          <t>Mat ID:</t>
        </is>
      </c>
      <c r="AC5" s="42" t="n">
        <v>10</v>
      </c>
      <c r="AE5" s="41" t="inlineStr">
        <is>
          <t>Mat ID:</t>
        </is>
      </c>
      <c r="AF5" s="42" t="n">
        <v>11</v>
      </c>
      <c r="AG5" s="1" t="n"/>
      <c r="AH5" s="41" t="inlineStr">
        <is>
          <t>Mat ID:</t>
        </is>
      </c>
      <c r="AI5" s="42" t="n">
        <v>12</v>
      </c>
      <c r="AJ5" s="1" t="n"/>
      <c r="AK5" s="41" t="inlineStr">
        <is>
          <t>Mat ID:</t>
        </is>
      </c>
      <c r="AL5" s="42" t="n">
        <v>13</v>
      </c>
      <c r="AM5" s="1" t="n"/>
      <c r="AN5" s="41" t="inlineStr">
        <is>
          <t>Mat ID:</t>
        </is>
      </c>
      <c r="AO5" s="42" t="n">
        <v>14</v>
      </c>
      <c r="AP5" s="1" t="n"/>
      <c r="AQ5" s="41" t="inlineStr">
        <is>
          <t>Mat ID:</t>
        </is>
      </c>
      <c r="AR5" s="42" t="n">
        <v>15</v>
      </c>
    </row>
    <row r="6">
      <c r="A6" s="41" t="inlineStr">
        <is>
          <t>clay</t>
        </is>
      </c>
      <c r="B6" s="61" t="n"/>
      <c r="D6" s="41">
        <f>_xlfn.XLOOKUP(E5,mat!$A:$A, mat!$B:$B,"") &amp; ""</f>
        <v/>
      </c>
      <c r="E6" s="61" t="n"/>
      <c r="G6" s="41">
        <f>_xlfn.XLOOKUP(H5,mat!$A:$A, mat!$B:$B,"") &amp; ""</f>
        <v/>
      </c>
      <c r="H6" s="61" t="n"/>
      <c r="J6" s="41">
        <f>_xlfn.XLOOKUP(K5,mat!$A:$A, mat!$B:$B,"") &amp; ""</f>
        <v/>
      </c>
      <c r="K6" s="61" t="n"/>
      <c r="M6" s="41">
        <f>_xlfn.XLOOKUP(N5,mat!$A:$A, mat!$B:$B,"") &amp; ""</f>
        <v/>
      </c>
      <c r="N6" s="61" t="n"/>
      <c r="P6" s="41">
        <f>_xlfn.XLOOKUP(Q5,mat!$A:$A, mat!$B:$B,"") &amp; ""</f>
        <v/>
      </c>
      <c r="Q6" s="61" t="n"/>
      <c r="R6" s="1" t="n"/>
      <c r="S6" s="41">
        <f>_xlfn.XLOOKUP(T5,mat!$A:$A, mat!$B:$B,"") &amp; ""</f>
        <v/>
      </c>
      <c r="T6" s="61" t="n"/>
      <c r="U6" s="1" t="n"/>
      <c r="V6" s="41">
        <f>_xlfn.XLOOKUP(W5,mat!$A:$A, mat!$B:$B,"") &amp; ""</f>
        <v/>
      </c>
      <c r="W6" s="61" t="n"/>
      <c r="X6" s="1" t="n"/>
      <c r="Y6" s="41">
        <f>_xlfn.XLOOKUP(Z5,mat!$A:$A, mat!$B:$B,"") &amp; ""</f>
        <v/>
      </c>
      <c r="Z6" s="61" t="n"/>
      <c r="AA6" s="1" t="n"/>
      <c r="AB6" s="41">
        <f>_xlfn.XLOOKUP(AC5,mat!$A:$A, mat!$B:$B,"") &amp; ""</f>
        <v/>
      </c>
      <c r="AC6" s="61" t="n"/>
      <c r="AE6" s="41">
        <f>_xlfn.XLOOKUP(AF5,mat!$A:$A, mat!$B:$B,"") &amp; ""</f>
        <v/>
      </c>
      <c r="AF6" s="61" t="n"/>
      <c r="AG6" s="1" t="n"/>
      <c r="AH6" s="41">
        <f>_xlfn.XLOOKUP(AI5,mat!$A:$A, mat!$B:$B,"") &amp; ""</f>
        <v/>
      </c>
      <c r="AI6" s="61" t="n"/>
      <c r="AJ6" s="1" t="n"/>
      <c r="AK6" s="41">
        <f>_xlfn.XLOOKUP(AL5,mat!$A:$A, mat!$B:$B,"") &amp; ""</f>
        <v/>
      </c>
      <c r="AL6" s="61" t="n"/>
      <c r="AM6" s="1" t="n"/>
      <c r="AN6" s="41">
        <f>_xlfn.XLOOKUP(AO5,mat!$A:$A, mat!$B:$B,"") &amp; ""</f>
        <v/>
      </c>
      <c r="AO6" s="61" t="n"/>
      <c r="AP6" s="1" t="n"/>
      <c r="AQ6" s="41">
        <f>_xlfn.XLOOKUP(AR5,mat!$A:$A, mat!$B:$B,"") &amp; ""</f>
        <v/>
      </c>
      <c r="AR6" s="61" t="n"/>
    </row>
    <row r="7">
      <c r="A7" s="2" t="inlineStr">
        <is>
          <t>x</t>
        </is>
      </c>
      <c r="B7" s="2" t="inlineStr">
        <is>
          <t>y</t>
        </is>
      </c>
      <c r="D7" s="2" t="inlineStr">
        <is>
          <t>x</t>
        </is>
      </c>
      <c r="E7" s="2" t="inlineStr">
        <is>
          <t>y</t>
        </is>
      </c>
      <c r="G7" s="2" t="inlineStr">
        <is>
          <t>x</t>
        </is>
      </c>
      <c r="H7" s="2" t="inlineStr">
        <is>
          <t>y</t>
        </is>
      </c>
      <c r="J7" s="2" t="inlineStr">
        <is>
          <t>x</t>
        </is>
      </c>
      <c r="K7" s="2" t="inlineStr">
        <is>
          <t>y</t>
        </is>
      </c>
      <c r="M7" s="2" t="inlineStr">
        <is>
          <t>x</t>
        </is>
      </c>
      <c r="N7" s="2" t="inlineStr">
        <is>
          <t>y</t>
        </is>
      </c>
      <c r="P7" s="2" t="inlineStr">
        <is>
          <t>x</t>
        </is>
      </c>
      <c r="Q7" s="2" t="inlineStr">
        <is>
          <t>y</t>
        </is>
      </c>
      <c r="R7" s="1" t="n"/>
      <c r="S7" s="2" t="inlineStr">
        <is>
          <t>x</t>
        </is>
      </c>
      <c r="T7" s="2" t="inlineStr">
        <is>
          <t>y</t>
        </is>
      </c>
      <c r="U7" s="1" t="n"/>
      <c r="V7" s="2" t="inlineStr">
        <is>
          <t>x</t>
        </is>
      </c>
      <c r="W7" s="2" t="inlineStr">
        <is>
          <t>y</t>
        </is>
      </c>
      <c r="X7" s="1" t="n"/>
      <c r="Y7" s="2" t="inlineStr">
        <is>
          <t>x</t>
        </is>
      </c>
      <c r="Z7" s="2" t="inlineStr">
        <is>
          <t>y</t>
        </is>
      </c>
      <c r="AA7" s="1" t="n"/>
      <c r="AB7" s="2" t="inlineStr">
        <is>
          <t>x</t>
        </is>
      </c>
      <c r="AC7" s="2" t="inlineStr">
        <is>
          <t>y</t>
        </is>
      </c>
      <c r="AE7" s="2" t="inlineStr">
        <is>
          <t>x</t>
        </is>
      </c>
      <c r="AF7" s="2" t="inlineStr">
        <is>
          <t>y</t>
        </is>
      </c>
      <c r="AG7" s="1" t="n"/>
      <c r="AH7" s="2" t="inlineStr">
        <is>
          <t>x</t>
        </is>
      </c>
      <c r="AI7" s="2" t="inlineStr">
        <is>
          <t>y</t>
        </is>
      </c>
      <c r="AJ7" s="1" t="n"/>
      <c r="AK7" s="2" t="inlineStr">
        <is>
          <t>x</t>
        </is>
      </c>
      <c r="AL7" s="2" t="inlineStr">
        <is>
          <t>y</t>
        </is>
      </c>
      <c r="AM7" s="1" t="n"/>
      <c r="AN7" s="2" t="inlineStr">
        <is>
          <t>x</t>
        </is>
      </c>
      <c r="AO7" s="2" t="inlineStr">
        <is>
          <t>y</t>
        </is>
      </c>
      <c r="AP7" s="1" t="n"/>
      <c r="AQ7" s="2" t="inlineStr">
        <is>
          <t>x</t>
        </is>
      </c>
      <c r="AR7" s="2" t="inlineStr">
        <is>
          <t>y</t>
        </is>
      </c>
    </row>
    <row r="8">
      <c r="A8" s="3" t="n">
        <v>0</v>
      </c>
      <c r="B8" s="3" t="n">
        <v>18</v>
      </c>
      <c r="D8" s="3" t="n"/>
      <c r="E8" s="3" t="n"/>
      <c r="G8" s="3" t="n"/>
      <c r="H8" s="3" t="n"/>
      <c r="J8" s="3" t="n"/>
      <c r="K8" s="3" t="n"/>
      <c r="M8" s="3" t="n"/>
      <c r="N8" s="3" t="n"/>
      <c r="P8" s="3" t="n"/>
      <c r="Q8" s="3" t="n"/>
      <c r="R8" s="1" t="n"/>
      <c r="S8" s="16" t="n"/>
      <c r="T8" s="17" t="n"/>
      <c r="U8" s="1" t="n"/>
      <c r="V8" s="16" t="n"/>
      <c r="W8" s="17" t="n"/>
      <c r="X8" s="1" t="n"/>
      <c r="Y8" s="16" t="n"/>
      <c r="Z8" s="17" t="n"/>
      <c r="AA8" s="1" t="n"/>
      <c r="AB8" s="16" t="n"/>
      <c r="AC8" s="17" t="n"/>
      <c r="AE8" s="3" t="n"/>
      <c r="AF8" s="3" t="n"/>
      <c r="AG8" s="1" t="n"/>
      <c r="AH8" s="16" t="n"/>
      <c r="AI8" s="17" t="n"/>
      <c r="AJ8" s="1" t="n"/>
      <c r="AK8" s="16" t="n"/>
      <c r="AL8" s="17" t="n"/>
      <c r="AM8" s="1" t="n"/>
      <c r="AN8" s="16" t="n"/>
      <c r="AO8" s="17" t="n"/>
      <c r="AP8" s="1" t="n"/>
      <c r="AQ8" s="16" t="n"/>
      <c r="AR8" s="17" t="n"/>
    </row>
    <row r="9">
      <c r="A9" s="3" t="n">
        <v>50</v>
      </c>
      <c r="B9" s="3" t="n">
        <v>18</v>
      </c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1" t="n"/>
      <c r="S9" s="18" t="n"/>
      <c r="T9" s="19" t="n"/>
      <c r="U9" s="1" t="n"/>
      <c r="V9" s="18" t="n"/>
      <c r="W9" s="19" t="n"/>
      <c r="X9" s="1" t="n"/>
      <c r="Y9" s="18" t="n"/>
      <c r="Z9" s="19" t="n"/>
      <c r="AA9" s="1" t="n"/>
      <c r="AB9" s="18" t="n"/>
      <c r="AC9" s="19" t="n"/>
      <c r="AE9" s="3" t="n"/>
      <c r="AF9" s="3" t="n"/>
      <c r="AG9" s="1" t="n"/>
      <c r="AH9" s="18" t="n"/>
      <c r="AI9" s="19" t="n"/>
      <c r="AJ9" s="1" t="n"/>
      <c r="AK9" s="18" t="n"/>
      <c r="AL9" s="19" t="n"/>
      <c r="AM9" s="1" t="n"/>
      <c r="AN9" s="18" t="n"/>
      <c r="AO9" s="19" t="n"/>
      <c r="AP9" s="1" t="n"/>
      <c r="AQ9" s="18" t="n"/>
      <c r="AR9" s="19" t="n"/>
    </row>
    <row r="10">
      <c r="A10" s="3" t="n">
        <v>93.75</v>
      </c>
      <c r="B10" s="3" t="n">
        <v>43</v>
      </c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1" t="n"/>
      <c r="S10" s="18" t="n"/>
      <c r="T10" s="19" t="n"/>
      <c r="U10" s="1" t="n"/>
      <c r="V10" s="18" t="n"/>
      <c r="W10" s="19" t="n"/>
      <c r="X10" s="1" t="n"/>
      <c r="Y10" s="18" t="n"/>
      <c r="Z10" s="19" t="n"/>
      <c r="AA10" s="1" t="n"/>
      <c r="AB10" s="18" t="n"/>
      <c r="AC10" s="19" t="n"/>
      <c r="AE10" s="3" t="n"/>
      <c r="AF10" s="3" t="n"/>
      <c r="AG10" s="1" t="n"/>
      <c r="AH10" s="18" t="n"/>
      <c r="AI10" s="19" t="n"/>
      <c r="AJ10" s="1" t="n"/>
      <c r="AK10" s="18" t="n"/>
      <c r="AL10" s="19" t="n"/>
      <c r="AM10" s="1" t="n"/>
      <c r="AN10" s="18" t="n"/>
      <c r="AO10" s="19" t="n"/>
      <c r="AP10" s="1" t="n"/>
      <c r="AQ10" s="18" t="n"/>
      <c r="AR10" s="19" t="n"/>
    </row>
    <row r="11">
      <c r="A11" s="3" t="n">
        <v>200</v>
      </c>
      <c r="B11" s="3" t="n">
        <v>43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1" t="n"/>
      <c r="S11" s="18" t="n"/>
      <c r="T11" s="19" t="n"/>
      <c r="U11" s="1" t="n"/>
      <c r="V11" s="16" t="n"/>
      <c r="W11" s="17" t="n"/>
      <c r="X11" s="1" t="n"/>
      <c r="Y11" s="18" t="n"/>
      <c r="Z11" s="19" t="n"/>
      <c r="AA11" s="1" t="n"/>
      <c r="AB11" s="18" t="n"/>
      <c r="AC11" s="19" t="n"/>
      <c r="AE11" s="3" t="n"/>
      <c r="AF11" s="3" t="n"/>
      <c r="AG11" s="1" t="n"/>
      <c r="AH11" s="18" t="n"/>
      <c r="AI11" s="19" t="n"/>
      <c r="AJ11" s="1" t="n"/>
      <c r="AK11" s="18" t="n"/>
      <c r="AL11" s="19" t="n"/>
      <c r="AM11" s="1" t="n"/>
      <c r="AN11" s="18" t="n"/>
      <c r="AO11" s="19" t="n"/>
      <c r="AP11" s="1" t="n"/>
      <c r="AQ11" s="18" t="n"/>
      <c r="AR11" s="19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1" t="n"/>
      <c r="S12" s="3" t="n"/>
      <c r="T12" s="3" t="n"/>
      <c r="U12" s="1" t="n"/>
      <c r="V12" s="3" t="n"/>
      <c r="W12" s="3" t="n"/>
      <c r="X12" s="1" t="n"/>
      <c r="Y12" s="3" t="n"/>
      <c r="Z12" s="3" t="n"/>
      <c r="AA12" s="1" t="n"/>
      <c r="AB12" s="3" t="n"/>
      <c r="AC12" s="3" t="n"/>
      <c r="AE12" s="3" t="n"/>
      <c r="AF12" s="3" t="n"/>
      <c r="AG12" s="1" t="n"/>
      <c r="AH12" s="3" t="n"/>
      <c r="AI12" s="3" t="n"/>
      <c r="AJ12" s="1" t="n"/>
      <c r="AK12" s="3" t="n"/>
      <c r="AL12" s="3" t="n"/>
      <c r="AM12" s="1" t="n"/>
      <c r="AN12" s="3" t="n"/>
      <c r="AO12" s="3" t="n"/>
      <c r="AP12" s="1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1" t="n"/>
      <c r="S13" s="3" t="n"/>
      <c r="T13" s="3" t="n"/>
      <c r="U13" s="1" t="n"/>
      <c r="V13" s="3" t="n"/>
      <c r="W13" s="3" t="n"/>
      <c r="X13" s="1" t="n"/>
      <c r="Y13" s="3" t="n"/>
      <c r="Z13" s="3" t="n"/>
      <c r="AA13" s="1" t="n"/>
      <c r="AB13" s="3" t="n"/>
      <c r="AC13" s="3" t="n"/>
      <c r="AE13" s="3" t="n"/>
      <c r="AF13" s="3" t="n"/>
      <c r="AG13" s="1" t="n"/>
      <c r="AH13" s="3" t="n"/>
      <c r="AI13" s="3" t="n"/>
      <c r="AJ13" s="1" t="n"/>
      <c r="AK13" s="3" t="n"/>
      <c r="AL13" s="3" t="n"/>
      <c r="AM13" s="1" t="n"/>
      <c r="AN13" s="3" t="n"/>
      <c r="AO13" s="3" t="n"/>
      <c r="AP13" s="1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1" t="n"/>
      <c r="S14" s="3" t="n"/>
      <c r="T14" s="3" t="n"/>
      <c r="U14" s="1" t="n"/>
      <c r="V14" s="3" t="n"/>
      <c r="W14" s="3" t="n"/>
      <c r="X14" s="1" t="n"/>
      <c r="Y14" s="3" t="n"/>
      <c r="Z14" s="3" t="n"/>
      <c r="AA14" s="1" t="n"/>
      <c r="AB14" s="3" t="n"/>
      <c r="AC14" s="3" t="n"/>
      <c r="AE14" s="3" t="n"/>
      <c r="AF14" s="3" t="n"/>
      <c r="AG14" s="1" t="n"/>
      <c r="AH14" s="3" t="n"/>
      <c r="AI14" s="3" t="n"/>
      <c r="AJ14" s="1" t="n"/>
      <c r="AK14" s="3" t="n"/>
      <c r="AL14" s="3" t="n"/>
      <c r="AM14" s="1" t="n"/>
      <c r="AN14" s="3" t="n"/>
      <c r="AO14" s="3" t="n"/>
      <c r="AP14" s="1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1" t="n"/>
      <c r="S15" s="3" t="n"/>
      <c r="T15" s="3" t="n"/>
      <c r="U15" s="1" t="n"/>
      <c r="V15" s="3" t="n"/>
      <c r="W15" s="3" t="n"/>
      <c r="X15" s="1" t="n"/>
      <c r="Y15" s="3" t="n"/>
      <c r="Z15" s="3" t="n"/>
      <c r="AA15" s="1" t="n"/>
      <c r="AB15" s="3" t="n"/>
      <c r="AC15" s="3" t="n"/>
      <c r="AE15" s="3" t="n"/>
      <c r="AF15" s="3" t="n"/>
      <c r="AG15" s="1" t="n"/>
      <c r="AH15" s="3" t="n"/>
      <c r="AI15" s="3" t="n"/>
      <c r="AJ15" s="1" t="n"/>
      <c r="AK15" s="3" t="n"/>
      <c r="AL15" s="3" t="n"/>
      <c r="AM15" s="1" t="n"/>
      <c r="AN15" s="3" t="n"/>
      <c r="AO15" s="3" t="n"/>
      <c r="AP15" s="1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1" t="n"/>
      <c r="S16" s="3" t="n"/>
      <c r="T16" s="3" t="n"/>
      <c r="U16" s="1" t="n"/>
      <c r="V16" s="3" t="n"/>
      <c r="W16" s="3" t="n"/>
      <c r="X16" s="1" t="n"/>
      <c r="Y16" s="3" t="n"/>
      <c r="Z16" s="3" t="n"/>
      <c r="AA16" s="1" t="n"/>
      <c r="AB16" s="3" t="n"/>
      <c r="AC16" s="3" t="n"/>
      <c r="AE16" s="3" t="n"/>
      <c r="AF16" s="3" t="n"/>
      <c r="AG16" s="1" t="n"/>
      <c r="AH16" s="3" t="n"/>
      <c r="AI16" s="3" t="n"/>
      <c r="AJ16" s="1" t="n"/>
      <c r="AK16" s="3" t="n"/>
      <c r="AL16" s="3" t="n"/>
      <c r="AM16" s="1" t="n"/>
      <c r="AN16" s="3" t="n"/>
      <c r="AO16" s="3" t="n"/>
      <c r="AP16" s="1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1" t="n"/>
      <c r="S17" s="3" t="n"/>
      <c r="T17" s="3" t="n"/>
      <c r="U17" s="1" t="n"/>
      <c r="V17" s="3" t="n"/>
      <c r="W17" s="3" t="n"/>
      <c r="X17" s="1" t="n"/>
      <c r="Y17" s="3" t="n"/>
      <c r="Z17" s="3" t="n"/>
      <c r="AA17" s="1" t="n"/>
      <c r="AB17" s="3" t="n"/>
      <c r="AC17" s="3" t="n"/>
      <c r="AE17" s="3" t="n"/>
      <c r="AF17" s="3" t="n"/>
      <c r="AG17" s="1" t="n"/>
      <c r="AH17" s="3" t="n"/>
      <c r="AI17" s="3" t="n"/>
      <c r="AJ17" s="1" t="n"/>
      <c r="AK17" s="3" t="n"/>
      <c r="AL17" s="3" t="n"/>
      <c r="AM17" s="1" t="n"/>
      <c r="AN17" s="3" t="n"/>
      <c r="AO17" s="3" t="n"/>
      <c r="AP17" s="1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1" t="n"/>
      <c r="S18" s="3" t="n"/>
      <c r="T18" s="3" t="n"/>
      <c r="U18" s="1" t="n"/>
      <c r="V18" s="3" t="n"/>
      <c r="W18" s="3" t="n"/>
      <c r="X18" s="1" t="n"/>
      <c r="Y18" s="3" t="n"/>
      <c r="Z18" s="3" t="n"/>
      <c r="AA18" s="1" t="n"/>
      <c r="AB18" s="3" t="n"/>
      <c r="AC18" s="3" t="n"/>
      <c r="AE18" s="3" t="n"/>
      <c r="AF18" s="3" t="n"/>
      <c r="AG18" s="1" t="n"/>
      <c r="AH18" s="3" t="n"/>
      <c r="AI18" s="3" t="n"/>
      <c r="AJ18" s="1" t="n"/>
      <c r="AK18" s="3" t="n"/>
      <c r="AL18" s="3" t="n"/>
      <c r="AM18" s="1" t="n"/>
      <c r="AN18" s="3" t="n"/>
      <c r="AO18" s="3" t="n"/>
      <c r="AP18" s="1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1" t="n"/>
      <c r="S19" s="3" t="n"/>
      <c r="T19" s="3" t="n"/>
      <c r="U19" s="1" t="n"/>
      <c r="V19" s="3" t="n"/>
      <c r="W19" s="3" t="n"/>
      <c r="X19" s="1" t="n"/>
      <c r="Y19" s="3" t="n"/>
      <c r="Z19" s="3" t="n"/>
      <c r="AA19" s="1" t="n"/>
      <c r="AB19" s="3" t="n"/>
      <c r="AC19" s="3" t="n"/>
      <c r="AE19" s="3" t="n"/>
      <c r="AF19" s="3" t="n"/>
      <c r="AG19" s="1" t="n"/>
      <c r="AH19" s="3" t="n"/>
      <c r="AI19" s="3" t="n"/>
      <c r="AJ19" s="1" t="n"/>
      <c r="AK19" s="3" t="n"/>
      <c r="AL19" s="3" t="n"/>
      <c r="AM19" s="1" t="n"/>
      <c r="AN19" s="3" t="n"/>
      <c r="AO19" s="3" t="n"/>
      <c r="AP19" s="1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1" t="n"/>
      <c r="S20" s="3" t="n"/>
      <c r="T20" s="3" t="n"/>
      <c r="U20" s="1" t="n"/>
      <c r="V20" s="3" t="n"/>
      <c r="W20" s="3" t="n"/>
      <c r="X20" s="1" t="n"/>
      <c r="Y20" s="3" t="n"/>
      <c r="Z20" s="3" t="n"/>
      <c r="AA20" s="1" t="n"/>
      <c r="AB20" s="3" t="n"/>
      <c r="AC20" s="3" t="n"/>
      <c r="AE20" s="3" t="n"/>
      <c r="AF20" s="3" t="n"/>
      <c r="AG20" s="1" t="n"/>
      <c r="AH20" s="3" t="n"/>
      <c r="AI20" s="3" t="n"/>
      <c r="AJ20" s="1" t="n"/>
      <c r="AK20" s="3" t="n"/>
      <c r="AL20" s="3" t="n"/>
      <c r="AM20" s="1" t="n"/>
      <c r="AN20" s="3" t="n"/>
      <c r="AO20" s="3" t="n"/>
      <c r="AP20" s="1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1" t="n"/>
      <c r="S21" s="3" t="n"/>
      <c r="T21" s="3" t="n"/>
      <c r="U21" s="1" t="n"/>
      <c r="V21" s="3" t="n"/>
      <c r="W21" s="3" t="n"/>
      <c r="X21" s="1" t="n"/>
      <c r="Y21" s="3" t="n"/>
      <c r="Z21" s="3" t="n"/>
      <c r="AA21" s="1" t="n"/>
      <c r="AB21" s="3" t="n"/>
      <c r="AC21" s="3" t="n"/>
      <c r="AE21" s="3" t="n"/>
      <c r="AF21" s="3" t="n"/>
      <c r="AG21" s="1" t="n"/>
      <c r="AH21" s="3" t="n"/>
      <c r="AI21" s="3" t="n"/>
      <c r="AJ21" s="1" t="n"/>
      <c r="AK21" s="3" t="n"/>
      <c r="AL21" s="3" t="n"/>
      <c r="AM21" s="1" t="n"/>
      <c r="AN21" s="3" t="n"/>
      <c r="AO21" s="3" t="n"/>
      <c r="AP21" s="1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1" t="n"/>
      <c r="S22" s="3" t="n"/>
      <c r="T22" s="3" t="n"/>
      <c r="U22" s="1" t="n"/>
      <c r="V22" s="3" t="n"/>
      <c r="W22" s="3" t="n"/>
      <c r="X22" s="1" t="n"/>
      <c r="Y22" s="3" t="n"/>
      <c r="Z22" s="3" t="n"/>
      <c r="AA22" s="1" t="n"/>
      <c r="AB22" s="3" t="n"/>
      <c r="AC22" s="3" t="n"/>
      <c r="AE22" s="3" t="n"/>
      <c r="AF22" s="3" t="n"/>
      <c r="AG22" s="1" t="n"/>
      <c r="AH22" s="3" t="n"/>
      <c r="AI22" s="3" t="n"/>
      <c r="AJ22" s="1" t="n"/>
      <c r="AK22" s="3" t="n"/>
      <c r="AL22" s="3" t="n"/>
      <c r="AM22" s="1" t="n"/>
      <c r="AN22" s="3" t="n"/>
      <c r="AO22" s="3" t="n"/>
      <c r="AP22" s="1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1" t="n"/>
      <c r="S23" s="3" t="n"/>
      <c r="T23" s="3" t="n"/>
      <c r="U23" s="1" t="n"/>
      <c r="V23" s="3" t="n"/>
      <c r="W23" s="3" t="n"/>
      <c r="X23" s="1" t="n"/>
      <c r="Y23" s="3" t="n"/>
      <c r="Z23" s="3" t="n"/>
      <c r="AA23" s="1" t="n"/>
      <c r="AB23" s="3" t="n"/>
      <c r="AC23" s="3" t="n"/>
      <c r="AE23" s="3" t="n"/>
      <c r="AF23" s="3" t="n"/>
      <c r="AG23" s="1" t="n"/>
      <c r="AH23" s="3" t="n"/>
      <c r="AI23" s="3" t="n"/>
      <c r="AJ23" s="1" t="n"/>
      <c r="AK23" s="3" t="n"/>
      <c r="AL23" s="3" t="n"/>
      <c r="AM23" s="1" t="n"/>
      <c r="AN23" s="3" t="n"/>
      <c r="AO23" s="3" t="n"/>
      <c r="AP23" s="1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1" t="n"/>
      <c r="S24" s="3" t="n"/>
      <c r="T24" s="3" t="n"/>
      <c r="U24" s="1" t="n"/>
      <c r="V24" s="3" t="n"/>
      <c r="W24" s="3" t="n"/>
      <c r="X24" s="1" t="n"/>
      <c r="Y24" s="3" t="n"/>
      <c r="Z24" s="3" t="n"/>
      <c r="AA24" s="1" t="n"/>
      <c r="AB24" s="3" t="n"/>
      <c r="AC24" s="3" t="n"/>
      <c r="AE24" s="3" t="n"/>
      <c r="AF24" s="3" t="n"/>
      <c r="AG24" s="1" t="n"/>
      <c r="AH24" s="3" t="n"/>
      <c r="AI24" s="3" t="n"/>
      <c r="AJ24" s="1" t="n"/>
      <c r="AK24" s="3" t="n"/>
      <c r="AL24" s="3" t="n"/>
      <c r="AM24" s="1" t="n"/>
      <c r="AN24" s="3" t="n"/>
      <c r="AO24" s="3" t="n"/>
      <c r="AP24" s="1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1" t="n"/>
      <c r="S25" s="3" t="n"/>
      <c r="T25" s="3" t="n"/>
      <c r="U25" s="1" t="n"/>
      <c r="V25" s="3" t="n"/>
      <c r="W25" s="3" t="n"/>
      <c r="X25" s="1" t="n"/>
      <c r="Y25" s="3" t="n"/>
      <c r="Z25" s="3" t="n"/>
      <c r="AA25" s="1" t="n"/>
      <c r="AB25" s="3" t="n"/>
      <c r="AC25" s="3" t="n"/>
      <c r="AE25" s="3" t="n"/>
      <c r="AF25" s="3" t="n"/>
      <c r="AG25" s="1" t="n"/>
      <c r="AH25" s="3" t="n"/>
      <c r="AI25" s="3" t="n"/>
      <c r="AJ25" s="1" t="n"/>
      <c r="AK25" s="3" t="n"/>
      <c r="AL25" s="3" t="n"/>
      <c r="AM25" s="1" t="n"/>
      <c r="AN25" s="3" t="n"/>
      <c r="AO25" s="3" t="n"/>
      <c r="AP25" s="1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1" t="n"/>
      <c r="S26" s="3" t="n"/>
      <c r="T26" s="3" t="n"/>
      <c r="U26" s="1" t="n"/>
      <c r="V26" s="3" t="n"/>
      <c r="W26" s="3" t="n"/>
      <c r="X26" s="1" t="n"/>
      <c r="Y26" s="3" t="n"/>
      <c r="Z26" s="3" t="n"/>
      <c r="AA26" s="1" t="n"/>
      <c r="AB26" s="3" t="n"/>
      <c r="AC26" s="3" t="n"/>
      <c r="AE26" s="3" t="n"/>
      <c r="AF26" s="3" t="n"/>
      <c r="AG26" s="1" t="n"/>
      <c r="AH26" s="3" t="n"/>
      <c r="AI26" s="3" t="n"/>
      <c r="AJ26" s="1" t="n"/>
      <c r="AK26" s="3" t="n"/>
      <c r="AL26" s="3" t="n"/>
      <c r="AM26" s="1" t="n"/>
      <c r="AN26" s="3" t="n"/>
      <c r="AO26" s="3" t="n"/>
      <c r="AP26" s="1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1" t="n"/>
      <c r="S27" s="3" t="n"/>
      <c r="T27" s="3" t="n"/>
      <c r="U27" s="1" t="n"/>
      <c r="V27" s="3" t="n"/>
      <c r="W27" s="3" t="n"/>
      <c r="X27" s="1" t="n"/>
      <c r="Y27" s="3" t="n"/>
      <c r="Z27" s="3" t="n"/>
      <c r="AA27" s="1" t="n"/>
      <c r="AB27" s="3" t="n"/>
      <c r="AC27" s="3" t="n"/>
      <c r="AE27" s="3" t="n"/>
      <c r="AF27" s="3" t="n"/>
      <c r="AG27" s="1" t="n"/>
      <c r="AH27" s="3" t="n"/>
      <c r="AI27" s="3" t="n"/>
      <c r="AJ27" s="1" t="n"/>
      <c r="AK27" s="3" t="n"/>
      <c r="AL27" s="3" t="n"/>
      <c r="AM27" s="1" t="n"/>
      <c r="AN27" s="3" t="n"/>
      <c r="AO27" s="3" t="n"/>
      <c r="AP27" s="1" t="n"/>
      <c r="AQ27" s="3" t="n"/>
      <c r="AR27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R27"/>
  <sheetViews>
    <sheetView showGridLines="0" topLeftCell="AA1" zoomScale="140" zoomScaleNormal="140" workbookViewId="0">
      <selection activeCell="AA8" sqref="A8:XFD12"/>
    </sheetView>
  </sheetViews>
  <sheetFormatPr baseColWidth="10" defaultRowHeight="16"/>
  <cols>
    <col width="10.83203125" customWidth="1" style="1" min="1" max="2"/>
    <col width="3.83203125" customWidth="1" style="1" min="3" max="3"/>
    <col width="10.83203125" customWidth="1" style="1" min="4" max="5"/>
    <col width="3.83203125" customWidth="1" style="1" min="6" max="6"/>
    <col width="10.83203125" customWidth="1" style="1" min="7" max="8"/>
    <col width="3.83203125" customWidth="1" style="1" min="9" max="9"/>
    <col width="10.83203125" customWidth="1" style="1" min="10" max="11"/>
    <col width="3.83203125" customWidth="1" style="1" min="12" max="12"/>
    <col width="10.83203125" customWidth="1" style="1" min="13" max="14"/>
    <col width="3.83203125" customWidth="1" min="15" max="15"/>
    <col width="3.83203125" customWidth="1" min="18" max="18"/>
    <col width="3.83203125" customWidth="1" min="21" max="21"/>
    <col width="3.83203125" customWidth="1" min="24" max="24"/>
    <col width="3.83203125" customWidth="1" min="27" max="27"/>
    <col width="3.83203125" customWidth="1" min="30" max="30"/>
    <col width="3.83203125" customWidth="1" min="33" max="33"/>
    <col width="3.83203125" customWidth="1" min="36" max="36"/>
    <col width="3.83203125" customWidth="1" min="39" max="39"/>
    <col width="3.83203125" customWidth="1" min="42" max="42"/>
  </cols>
  <sheetData>
    <row r="2">
      <c r="A2" s="27" t="inlineStr">
        <is>
          <t xml:space="preserve">Polygons coordinates can be input in CW or CCW order. </t>
        </is>
      </c>
    </row>
    <row r="4">
      <c r="A4" s="50" t="inlineStr">
        <is>
          <t>Polygon #1</t>
        </is>
      </c>
      <c r="D4" s="50" t="inlineStr">
        <is>
          <t>Polygon #2</t>
        </is>
      </c>
      <c r="G4" s="50" t="inlineStr">
        <is>
          <t>Polygon #3</t>
        </is>
      </c>
      <c r="J4" s="50" t="inlineStr">
        <is>
          <t>Polygon #4</t>
        </is>
      </c>
      <c r="M4" s="50" t="inlineStr">
        <is>
          <t>Polygon #5</t>
        </is>
      </c>
      <c r="P4" s="50" t="inlineStr">
        <is>
          <t>Polygon #6</t>
        </is>
      </c>
      <c r="R4" s="1" t="n"/>
      <c r="S4" s="50" t="inlineStr">
        <is>
          <t>Polygon #7</t>
        </is>
      </c>
      <c r="U4" s="1" t="n"/>
      <c r="V4" s="50" t="inlineStr">
        <is>
          <t>Polygon #8</t>
        </is>
      </c>
      <c r="X4" s="1" t="n"/>
      <c r="Y4" s="50" t="inlineStr">
        <is>
          <t>Polygon #9</t>
        </is>
      </c>
      <c r="AA4" s="1" t="n"/>
      <c r="AB4" s="50" t="inlineStr">
        <is>
          <t>Polygon #10</t>
        </is>
      </c>
      <c r="AE4" s="50" t="inlineStr">
        <is>
          <t>Polygon #11</t>
        </is>
      </c>
      <c r="AG4" s="1" t="n"/>
      <c r="AH4" s="50" t="inlineStr">
        <is>
          <t>Polygon #12</t>
        </is>
      </c>
      <c r="AJ4" s="1" t="n"/>
      <c r="AK4" s="50" t="inlineStr">
        <is>
          <t>Polygon #13</t>
        </is>
      </c>
      <c r="AM4" s="1" t="n"/>
      <c r="AN4" s="50" t="inlineStr">
        <is>
          <t>Polygon #14</t>
        </is>
      </c>
      <c r="AP4" s="1" t="n"/>
      <c r="AQ4" s="50" t="inlineStr">
        <is>
          <t>Polygon #15</t>
        </is>
      </c>
    </row>
    <row r="5">
      <c r="A5" s="43" t="inlineStr">
        <is>
          <t>Mat ID:</t>
        </is>
      </c>
      <c r="B5" s="44" t="n">
        <v>1</v>
      </c>
      <c r="D5" s="43" t="inlineStr">
        <is>
          <t>Mat ID:</t>
        </is>
      </c>
      <c r="E5" s="44" t="n">
        <v>2</v>
      </c>
      <c r="G5" s="43" t="inlineStr">
        <is>
          <t>Mat ID:</t>
        </is>
      </c>
      <c r="H5" s="44" t="n">
        <v>3</v>
      </c>
      <c r="J5" s="43" t="inlineStr">
        <is>
          <t>Mat ID:</t>
        </is>
      </c>
      <c r="K5" s="44" t="n">
        <v>4</v>
      </c>
      <c r="M5" s="43" t="inlineStr">
        <is>
          <t>Mat ID:</t>
        </is>
      </c>
      <c r="N5" s="44" t="n">
        <v>5</v>
      </c>
      <c r="P5" s="43" t="inlineStr">
        <is>
          <t>Mat ID:</t>
        </is>
      </c>
      <c r="Q5" s="44" t="n">
        <v>6</v>
      </c>
      <c r="R5" s="1" t="n"/>
      <c r="S5" s="43" t="inlineStr">
        <is>
          <t>Mat ID:</t>
        </is>
      </c>
      <c r="T5" s="44" t="n">
        <v>7</v>
      </c>
      <c r="U5" s="1" t="n"/>
      <c r="V5" s="43" t="inlineStr">
        <is>
          <t>Mat ID:</t>
        </is>
      </c>
      <c r="W5" s="44" t="n">
        <v>8</v>
      </c>
      <c r="X5" s="1" t="n"/>
      <c r="Y5" s="43" t="inlineStr">
        <is>
          <t>Mat ID:</t>
        </is>
      </c>
      <c r="Z5" s="44" t="n">
        <v>9</v>
      </c>
      <c r="AA5" s="1" t="n"/>
      <c r="AB5" s="43" t="inlineStr">
        <is>
          <t>Mat ID:</t>
        </is>
      </c>
      <c r="AC5" s="44" t="n">
        <v>10</v>
      </c>
      <c r="AE5" s="43" t="inlineStr">
        <is>
          <t>Mat ID:</t>
        </is>
      </c>
      <c r="AF5" s="44" t="n">
        <v>11</v>
      </c>
      <c r="AG5" s="1" t="n"/>
      <c r="AH5" s="43" t="inlineStr">
        <is>
          <t>Mat ID:</t>
        </is>
      </c>
      <c r="AI5" s="44" t="n">
        <v>12</v>
      </c>
      <c r="AJ5" s="1" t="n"/>
      <c r="AK5" s="43" t="inlineStr">
        <is>
          <t>Mat ID:</t>
        </is>
      </c>
      <c r="AL5" s="44" t="n">
        <v>13</v>
      </c>
      <c r="AM5" s="1" t="n"/>
      <c r="AN5" s="43" t="inlineStr">
        <is>
          <t>Mat ID:</t>
        </is>
      </c>
      <c r="AO5" s="44" t="n">
        <v>14</v>
      </c>
      <c r="AP5" s="1" t="n"/>
      <c r="AQ5" s="43" t="inlineStr">
        <is>
          <t>Mat ID:</t>
        </is>
      </c>
      <c r="AR5" s="44" t="n">
        <v>15</v>
      </c>
    </row>
    <row r="6">
      <c r="A6" s="43">
        <f>_xlfn.XLOOKUP(B5,mat!$A:$A, mat!$B:$B,"") &amp; ""</f>
        <v/>
      </c>
      <c r="B6" s="61" t="n"/>
      <c r="D6" s="43">
        <f>_xlfn.XLOOKUP(E5,mat!$A:$A, mat!$B:$B,"") &amp; ""</f>
        <v/>
      </c>
      <c r="E6" s="61" t="n"/>
      <c r="G6" s="43">
        <f>_xlfn.XLOOKUP(H5,mat!$A:$A, mat!$B:$B,"") &amp; ""</f>
        <v/>
      </c>
      <c r="H6" s="61" t="n"/>
      <c r="J6" s="43">
        <f>_xlfn.XLOOKUP(K5,mat!$A:$A, mat!$B:$B,"") &amp; ""</f>
        <v/>
      </c>
      <c r="K6" s="61" t="n"/>
      <c r="M6" s="43">
        <f>_xlfn.XLOOKUP(N5,mat!$A:$A, mat!$B:$B,"") &amp; ""</f>
        <v/>
      </c>
      <c r="N6" s="61" t="n"/>
      <c r="P6" s="43">
        <f>_xlfn.XLOOKUP(Q5,mat!$A:$A, mat!$B:$B,"") &amp; ""</f>
        <v/>
      </c>
      <c r="Q6" s="61" t="n"/>
      <c r="R6" s="1" t="n"/>
      <c r="S6" s="43">
        <f>_xlfn.XLOOKUP(T5,mat!$A:$A, mat!$B:$B,"") &amp; ""</f>
        <v/>
      </c>
      <c r="T6" s="61" t="n"/>
      <c r="U6" s="1" t="n"/>
      <c r="V6" s="43">
        <f>_xlfn.XLOOKUP(W5,mat!$A:$A, mat!$B:$B,"") &amp; ""</f>
        <v/>
      </c>
      <c r="W6" s="61" t="n"/>
      <c r="X6" s="1" t="n"/>
      <c r="Y6" s="43">
        <f>_xlfn.XLOOKUP(Z5,mat!$A:$A, mat!$B:$B,"") &amp; ""</f>
        <v/>
      </c>
      <c r="Z6" s="61" t="n"/>
      <c r="AA6" s="1" t="n"/>
      <c r="AB6" s="43">
        <f>_xlfn.XLOOKUP(AC5,mat!$A:$A, mat!$B:$B,"") &amp; ""</f>
        <v/>
      </c>
      <c r="AC6" s="61" t="n"/>
      <c r="AE6" s="43">
        <f>_xlfn.XLOOKUP(AF5,mat!$A:$A, mat!$B:$B,"") &amp; ""</f>
        <v/>
      </c>
      <c r="AF6" s="61" t="n"/>
      <c r="AG6" s="1" t="n"/>
      <c r="AH6" s="43">
        <f>_xlfn.XLOOKUP(AI5,mat!$A:$A, mat!$B:$B,"") &amp; ""</f>
        <v/>
      </c>
      <c r="AI6" s="61" t="n"/>
      <c r="AJ6" s="1" t="n"/>
      <c r="AK6" s="43">
        <f>_xlfn.XLOOKUP(AL5,mat!$A:$A, mat!$B:$B,"") &amp; ""</f>
        <v/>
      </c>
      <c r="AL6" s="61" t="n"/>
      <c r="AM6" s="1" t="n"/>
      <c r="AN6" s="43">
        <f>_xlfn.XLOOKUP(AO5,mat!$A:$A, mat!$B:$B,"") &amp; ""</f>
        <v/>
      </c>
      <c r="AO6" s="61" t="n"/>
      <c r="AP6" s="1" t="n"/>
      <c r="AQ6" s="43">
        <f>_xlfn.XLOOKUP(AR5,mat!$A:$A, mat!$B:$B,"") &amp; ""</f>
        <v/>
      </c>
      <c r="AR6" s="61" t="n"/>
    </row>
    <row r="7">
      <c r="A7" s="2" t="inlineStr">
        <is>
          <t>x</t>
        </is>
      </c>
      <c r="B7" s="2" t="inlineStr">
        <is>
          <t>y</t>
        </is>
      </c>
      <c r="D7" s="2" t="inlineStr">
        <is>
          <t>x</t>
        </is>
      </c>
      <c r="E7" s="2" t="inlineStr">
        <is>
          <t>y</t>
        </is>
      </c>
      <c r="G7" s="2" t="inlineStr">
        <is>
          <t>x</t>
        </is>
      </c>
      <c r="H7" s="2" t="inlineStr">
        <is>
          <t>y</t>
        </is>
      </c>
      <c r="J7" s="2" t="inlineStr">
        <is>
          <t>x</t>
        </is>
      </c>
      <c r="K7" s="2" t="inlineStr">
        <is>
          <t>y</t>
        </is>
      </c>
      <c r="M7" s="2" t="inlineStr">
        <is>
          <t>x</t>
        </is>
      </c>
      <c r="N7" s="2" t="inlineStr">
        <is>
          <t>y</t>
        </is>
      </c>
      <c r="P7" s="2" t="inlineStr">
        <is>
          <t>x</t>
        </is>
      </c>
      <c r="Q7" s="2" t="inlineStr">
        <is>
          <t>y</t>
        </is>
      </c>
      <c r="R7" s="1" t="n"/>
      <c r="S7" s="2" t="inlineStr">
        <is>
          <t>x</t>
        </is>
      </c>
      <c r="T7" s="2" t="inlineStr">
        <is>
          <t>y</t>
        </is>
      </c>
      <c r="U7" s="1" t="n"/>
      <c r="V7" s="2" t="inlineStr">
        <is>
          <t>x</t>
        </is>
      </c>
      <c r="W7" s="2" t="inlineStr">
        <is>
          <t>y</t>
        </is>
      </c>
      <c r="X7" s="1" t="n"/>
      <c r="Y7" s="2" t="inlineStr">
        <is>
          <t>x</t>
        </is>
      </c>
      <c r="Z7" s="2" t="inlineStr">
        <is>
          <t>y</t>
        </is>
      </c>
      <c r="AA7" s="1" t="n"/>
      <c r="AB7" s="2" t="inlineStr">
        <is>
          <t>x</t>
        </is>
      </c>
      <c r="AC7" s="2" t="inlineStr">
        <is>
          <t>y</t>
        </is>
      </c>
      <c r="AE7" s="2" t="inlineStr">
        <is>
          <t>x</t>
        </is>
      </c>
      <c r="AF7" s="2" t="inlineStr">
        <is>
          <t>y</t>
        </is>
      </c>
      <c r="AG7" s="1" t="n"/>
      <c r="AH7" s="2" t="inlineStr">
        <is>
          <t>x</t>
        </is>
      </c>
      <c r="AI7" s="2" t="inlineStr">
        <is>
          <t>y</t>
        </is>
      </c>
      <c r="AJ7" s="1" t="n"/>
      <c r="AK7" s="2" t="inlineStr">
        <is>
          <t>x</t>
        </is>
      </c>
      <c r="AL7" s="2" t="inlineStr">
        <is>
          <t>y</t>
        </is>
      </c>
      <c r="AM7" s="1" t="n"/>
      <c r="AN7" s="2" t="inlineStr">
        <is>
          <t>x</t>
        </is>
      </c>
      <c r="AO7" s="2" t="inlineStr">
        <is>
          <t>y</t>
        </is>
      </c>
      <c r="AP7" s="1" t="n"/>
      <c r="AQ7" s="2" t="inlineStr">
        <is>
          <t>x</t>
        </is>
      </c>
      <c r="AR7" s="2" t="inlineStr">
        <is>
          <t>y</t>
        </is>
      </c>
    </row>
    <row r="8">
      <c r="A8" s="3" t="n"/>
      <c r="B8" s="3" t="n"/>
      <c r="D8" s="3" t="n"/>
      <c r="E8" s="3" t="n"/>
      <c r="G8" s="3" t="n"/>
      <c r="H8" s="3" t="n"/>
      <c r="J8" s="3" t="n"/>
      <c r="K8" s="3" t="n"/>
      <c r="M8" s="3" t="n"/>
      <c r="N8" s="3" t="n"/>
      <c r="P8" s="3" t="n"/>
      <c r="Q8" s="3" t="n"/>
      <c r="R8" s="1" t="n"/>
      <c r="S8" s="3" t="n"/>
      <c r="T8" s="3" t="n"/>
      <c r="U8" s="1" t="n"/>
      <c r="V8" s="3" t="n"/>
      <c r="W8" s="3" t="n"/>
      <c r="X8" s="1" t="n"/>
      <c r="Y8" s="3" t="n"/>
      <c r="Z8" s="3" t="n"/>
      <c r="AA8" s="1" t="n"/>
      <c r="AB8" s="3" t="n"/>
      <c r="AC8" s="3" t="n"/>
      <c r="AE8" s="3" t="n"/>
      <c r="AF8" s="3" t="n"/>
      <c r="AG8" s="1" t="n"/>
      <c r="AH8" s="3" t="n"/>
      <c r="AI8" s="3" t="n"/>
      <c r="AJ8" s="1" t="n"/>
      <c r="AK8" s="3" t="n"/>
      <c r="AL8" s="3" t="n"/>
      <c r="AM8" s="1" t="n"/>
      <c r="AN8" s="3" t="n"/>
      <c r="AO8" s="3" t="n"/>
      <c r="AP8" s="1" t="n"/>
      <c r="AQ8" s="3" t="n"/>
      <c r="AR8" s="3" t="n"/>
    </row>
    <row r="9">
      <c r="A9" s="3" t="n"/>
      <c r="B9" s="3" t="n"/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1" t="n"/>
      <c r="S9" s="3" t="n"/>
      <c r="T9" s="3" t="n"/>
      <c r="U9" s="1" t="n"/>
      <c r="V9" s="3" t="n"/>
      <c r="W9" s="3" t="n"/>
      <c r="X9" s="1" t="n"/>
      <c r="Y9" s="3" t="n"/>
      <c r="Z9" s="3" t="n"/>
      <c r="AA9" s="1" t="n"/>
      <c r="AB9" s="3" t="n"/>
      <c r="AC9" s="3" t="n"/>
      <c r="AE9" s="3" t="n"/>
      <c r="AF9" s="3" t="n"/>
      <c r="AG9" s="1" t="n"/>
      <c r="AH9" s="3" t="n"/>
      <c r="AI9" s="3" t="n"/>
      <c r="AJ9" s="1" t="n"/>
      <c r="AK9" s="3" t="n"/>
      <c r="AL9" s="3" t="n"/>
      <c r="AM9" s="1" t="n"/>
      <c r="AN9" s="3" t="n"/>
      <c r="AO9" s="3" t="n"/>
      <c r="AP9" s="1" t="n"/>
      <c r="AQ9" s="3" t="n"/>
      <c r="AR9" s="3" t="n"/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1" t="n"/>
      <c r="S10" s="3" t="n"/>
      <c r="T10" s="3" t="n"/>
      <c r="U10" s="1" t="n"/>
      <c r="V10" s="3" t="n"/>
      <c r="W10" s="3" t="n"/>
      <c r="X10" s="1" t="n"/>
      <c r="Y10" s="3" t="n"/>
      <c r="Z10" s="3" t="n"/>
      <c r="AA10" s="1" t="n"/>
      <c r="AB10" s="3" t="n"/>
      <c r="AC10" s="3" t="n"/>
      <c r="AE10" s="3" t="n"/>
      <c r="AF10" s="3" t="n"/>
      <c r="AG10" s="1" t="n"/>
      <c r="AH10" s="3" t="n"/>
      <c r="AI10" s="3" t="n"/>
      <c r="AJ10" s="1" t="n"/>
      <c r="AK10" s="3" t="n"/>
      <c r="AL10" s="3" t="n"/>
      <c r="AM10" s="1" t="n"/>
      <c r="AN10" s="3" t="n"/>
      <c r="AO10" s="3" t="n"/>
      <c r="AP10" s="1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1" t="n"/>
      <c r="S11" s="3" t="n"/>
      <c r="T11" s="3" t="n"/>
      <c r="U11" s="1" t="n"/>
      <c r="V11" s="3" t="n"/>
      <c r="W11" s="3" t="n"/>
      <c r="X11" s="1" t="n"/>
      <c r="Y11" s="3" t="n"/>
      <c r="Z11" s="3" t="n"/>
      <c r="AA11" s="1" t="n"/>
      <c r="AB11" s="3" t="n"/>
      <c r="AC11" s="3" t="n"/>
      <c r="AE11" s="3" t="n"/>
      <c r="AF11" s="3" t="n"/>
      <c r="AG11" s="1" t="n"/>
      <c r="AH11" s="3" t="n"/>
      <c r="AI11" s="3" t="n"/>
      <c r="AJ11" s="1" t="n"/>
      <c r="AK11" s="3" t="n"/>
      <c r="AL11" s="3" t="n"/>
      <c r="AM11" s="1" t="n"/>
      <c r="AN11" s="3" t="n"/>
      <c r="AO11" s="3" t="n"/>
      <c r="AP11" s="1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1" t="n"/>
      <c r="S12" s="3" t="n"/>
      <c r="T12" s="3" t="n"/>
      <c r="U12" s="1" t="n"/>
      <c r="V12" s="3" t="n"/>
      <c r="W12" s="3" t="n"/>
      <c r="X12" s="1" t="n"/>
      <c r="Y12" s="3" t="n"/>
      <c r="Z12" s="3" t="n"/>
      <c r="AA12" s="1" t="n"/>
      <c r="AB12" s="3" t="n"/>
      <c r="AC12" s="3" t="n"/>
      <c r="AE12" s="3" t="n"/>
      <c r="AF12" s="3" t="n"/>
      <c r="AG12" s="1" t="n"/>
      <c r="AH12" s="3" t="n"/>
      <c r="AI12" s="3" t="n"/>
      <c r="AJ12" s="1" t="n"/>
      <c r="AK12" s="3" t="n"/>
      <c r="AL12" s="3" t="n"/>
      <c r="AM12" s="1" t="n"/>
      <c r="AN12" s="3" t="n"/>
      <c r="AO12" s="3" t="n"/>
      <c r="AP12" s="1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1" t="n"/>
      <c r="S13" s="3" t="n"/>
      <c r="T13" s="3" t="n"/>
      <c r="U13" s="1" t="n"/>
      <c r="V13" s="3" t="n"/>
      <c r="W13" s="3" t="n"/>
      <c r="X13" s="1" t="n"/>
      <c r="Y13" s="3" t="n"/>
      <c r="Z13" s="3" t="n"/>
      <c r="AA13" s="1" t="n"/>
      <c r="AB13" s="3" t="n"/>
      <c r="AC13" s="3" t="n"/>
      <c r="AE13" s="3" t="n"/>
      <c r="AF13" s="3" t="n"/>
      <c r="AG13" s="1" t="n"/>
      <c r="AH13" s="3" t="n"/>
      <c r="AI13" s="3" t="n"/>
      <c r="AJ13" s="1" t="n"/>
      <c r="AK13" s="3" t="n"/>
      <c r="AL13" s="3" t="n"/>
      <c r="AM13" s="1" t="n"/>
      <c r="AN13" s="3" t="n"/>
      <c r="AO13" s="3" t="n"/>
      <c r="AP13" s="1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1" t="n"/>
      <c r="S14" s="3" t="n"/>
      <c r="T14" s="3" t="n"/>
      <c r="U14" s="1" t="n"/>
      <c r="V14" s="3" t="n"/>
      <c r="W14" s="3" t="n"/>
      <c r="X14" s="1" t="n"/>
      <c r="Y14" s="3" t="n"/>
      <c r="Z14" s="3" t="n"/>
      <c r="AA14" s="1" t="n"/>
      <c r="AB14" s="3" t="n"/>
      <c r="AC14" s="3" t="n"/>
      <c r="AE14" s="3" t="n"/>
      <c r="AF14" s="3" t="n"/>
      <c r="AG14" s="1" t="n"/>
      <c r="AH14" s="3" t="n"/>
      <c r="AI14" s="3" t="n"/>
      <c r="AJ14" s="1" t="n"/>
      <c r="AK14" s="3" t="n"/>
      <c r="AL14" s="3" t="n"/>
      <c r="AM14" s="1" t="n"/>
      <c r="AN14" s="3" t="n"/>
      <c r="AO14" s="3" t="n"/>
      <c r="AP14" s="1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1" t="n"/>
      <c r="S15" s="3" t="n"/>
      <c r="T15" s="3" t="n"/>
      <c r="U15" s="1" t="n"/>
      <c r="V15" s="3" t="n"/>
      <c r="W15" s="3" t="n"/>
      <c r="X15" s="1" t="n"/>
      <c r="Y15" s="3" t="n"/>
      <c r="Z15" s="3" t="n"/>
      <c r="AA15" s="1" t="n"/>
      <c r="AB15" s="3" t="n"/>
      <c r="AC15" s="3" t="n"/>
      <c r="AE15" s="3" t="n"/>
      <c r="AF15" s="3" t="n"/>
      <c r="AG15" s="1" t="n"/>
      <c r="AH15" s="3" t="n"/>
      <c r="AI15" s="3" t="n"/>
      <c r="AJ15" s="1" t="n"/>
      <c r="AK15" s="3" t="n"/>
      <c r="AL15" s="3" t="n"/>
      <c r="AM15" s="1" t="n"/>
      <c r="AN15" s="3" t="n"/>
      <c r="AO15" s="3" t="n"/>
      <c r="AP15" s="1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1" t="n"/>
      <c r="S16" s="3" t="n"/>
      <c r="T16" s="3" t="n"/>
      <c r="U16" s="1" t="n"/>
      <c r="V16" s="3" t="n"/>
      <c r="W16" s="3" t="n"/>
      <c r="X16" s="1" t="n"/>
      <c r="Y16" s="3" t="n"/>
      <c r="Z16" s="3" t="n"/>
      <c r="AA16" s="1" t="n"/>
      <c r="AB16" s="3" t="n"/>
      <c r="AC16" s="3" t="n"/>
      <c r="AE16" s="3" t="n"/>
      <c r="AF16" s="3" t="n"/>
      <c r="AG16" s="1" t="n"/>
      <c r="AH16" s="3" t="n"/>
      <c r="AI16" s="3" t="n"/>
      <c r="AJ16" s="1" t="n"/>
      <c r="AK16" s="3" t="n"/>
      <c r="AL16" s="3" t="n"/>
      <c r="AM16" s="1" t="n"/>
      <c r="AN16" s="3" t="n"/>
      <c r="AO16" s="3" t="n"/>
      <c r="AP16" s="1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1" t="n"/>
      <c r="S17" s="3" t="n"/>
      <c r="T17" s="3" t="n"/>
      <c r="U17" s="1" t="n"/>
      <c r="V17" s="3" t="n"/>
      <c r="W17" s="3" t="n"/>
      <c r="X17" s="1" t="n"/>
      <c r="Y17" s="3" t="n"/>
      <c r="Z17" s="3" t="n"/>
      <c r="AA17" s="1" t="n"/>
      <c r="AB17" s="3" t="n"/>
      <c r="AC17" s="3" t="n"/>
      <c r="AE17" s="3" t="n"/>
      <c r="AF17" s="3" t="n"/>
      <c r="AG17" s="1" t="n"/>
      <c r="AH17" s="3" t="n"/>
      <c r="AI17" s="3" t="n"/>
      <c r="AJ17" s="1" t="n"/>
      <c r="AK17" s="3" t="n"/>
      <c r="AL17" s="3" t="n"/>
      <c r="AM17" s="1" t="n"/>
      <c r="AN17" s="3" t="n"/>
      <c r="AO17" s="3" t="n"/>
      <c r="AP17" s="1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1" t="n"/>
      <c r="S18" s="3" t="n"/>
      <c r="T18" s="3" t="n"/>
      <c r="U18" s="1" t="n"/>
      <c r="V18" s="3" t="n"/>
      <c r="W18" s="3" t="n"/>
      <c r="X18" s="1" t="n"/>
      <c r="Y18" s="3" t="n"/>
      <c r="Z18" s="3" t="n"/>
      <c r="AA18" s="1" t="n"/>
      <c r="AB18" s="3" t="n"/>
      <c r="AC18" s="3" t="n"/>
      <c r="AE18" s="3" t="n"/>
      <c r="AF18" s="3" t="n"/>
      <c r="AG18" s="1" t="n"/>
      <c r="AH18" s="3" t="n"/>
      <c r="AI18" s="3" t="n"/>
      <c r="AJ18" s="1" t="n"/>
      <c r="AK18" s="3" t="n"/>
      <c r="AL18" s="3" t="n"/>
      <c r="AM18" s="1" t="n"/>
      <c r="AN18" s="3" t="n"/>
      <c r="AO18" s="3" t="n"/>
      <c r="AP18" s="1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1" t="n"/>
      <c r="S19" s="3" t="n"/>
      <c r="T19" s="3" t="n"/>
      <c r="U19" s="1" t="n"/>
      <c r="V19" s="3" t="n"/>
      <c r="W19" s="3" t="n"/>
      <c r="X19" s="1" t="n"/>
      <c r="Y19" s="3" t="n"/>
      <c r="Z19" s="3" t="n"/>
      <c r="AA19" s="1" t="n"/>
      <c r="AB19" s="3" t="n"/>
      <c r="AC19" s="3" t="n"/>
      <c r="AE19" s="3" t="n"/>
      <c r="AF19" s="3" t="n"/>
      <c r="AG19" s="1" t="n"/>
      <c r="AH19" s="3" t="n"/>
      <c r="AI19" s="3" t="n"/>
      <c r="AJ19" s="1" t="n"/>
      <c r="AK19" s="3" t="n"/>
      <c r="AL19" s="3" t="n"/>
      <c r="AM19" s="1" t="n"/>
      <c r="AN19" s="3" t="n"/>
      <c r="AO19" s="3" t="n"/>
      <c r="AP19" s="1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1" t="n"/>
      <c r="S20" s="3" t="n"/>
      <c r="T20" s="3" t="n"/>
      <c r="U20" s="1" t="n"/>
      <c r="V20" s="3" t="n"/>
      <c r="W20" s="3" t="n"/>
      <c r="X20" s="1" t="n"/>
      <c r="Y20" s="3" t="n"/>
      <c r="Z20" s="3" t="n"/>
      <c r="AA20" s="1" t="n"/>
      <c r="AB20" s="3" t="n"/>
      <c r="AC20" s="3" t="n"/>
      <c r="AE20" s="3" t="n"/>
      <c r="AF20" s="3" t="n"/>
      <c r="AG20" s="1" t="n"/>
      <c r="AH20" s="3" t="n"/>
      <c r="AI20" s="3" t="n"/>
      <c r="AJ20" s="1" t="n"/>
      <c r="AK20" s="3" t="n"/>
      <c r="AL20" s="3" t="n"/>
      <c r="AM20" s="1" t="n"/>
      <c r="AN20" s="3" t="n"/>
      <c r="AO20" s="3" t="n"/>
      <c r="AP20" s="1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1" t="n"/>
      <c r="S21" s="3" t="n"/>
      <c r="T21" s="3" t="n"/>
      <c r="U21" s="1" t="n"/>
      <c r="V21" s="3" t="n"/>
      <c r="W21" s="3" t="n"/>
      <c r="X21" s="1" t="n"/>
      <c r="Y21" s="3" t="n"/>
      <c r="Z21" s="3" t="n"/>
      <c r="AA21" s="1" t="n"/>
      <c r="AB21" s="3" t="n"/>
      <c r="AC21" s="3" t="n"/>
      <c r="AE21" s="3" t="n"/>
      <c r="AF21" s="3" t="n"/>
      <c r="AG21" s="1" t="n"/>
      <c r="AH21" s="3" t="n"/>
      <c r="AI21" s="3" t="n"/>
      <c r="AJ21" s="1" t="n"/>
      <c r="AK21" s="3" t="n"/>
      <c r="AL21" s="3" t="n"/>
      <c r="AM21" s="1" t="n"/>
      <c r="AN21" s="3" t="n"/>
      <c r="AO21" s="3" t="n"/>
      <c r="AP21" s="1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1" t="n"/>
      <c r="S22" s="3" t="n"/>
      <c r="T22" s="3" t="n"/>
      <c r="U22" s="1" t="n"/>
      <c r="V22" s="3" t="n"/>
      <c r="W22" s="3" t="n"/>
      <c r="X22" s="1" t="n"/>
      <c r="Y22" s="3" t="n"/>
      <c r="Z22" s="3" t="n"/>
      <c r="AA22" s="1" t="n"/>
      <c r="AB22" s="3" t="n"/>
      <c r="AC22" s="3" t="n"/>
      <c r="AE22" s="3" t="n"/>
      <c r="AF22" s="3" t="n"/>
      <c r="AG22" s="1" t="n"/>
      <c r="AH22" s="3" t="n"/>
      <c r="AI22" s="3" t="n"/>
      <c r="AJ22" s="1" t="n"/>
      <c r="AK22" s="3" t="n"/>
      <c r="AL22" s="3" t="n"/>
      <c r="AM22" s="1" t="n"/>
      <c r="AN22" s="3" t="n"/>
      <c r="AO22" s="3" t="n"/>
      <c r="AP22" s="1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1" t="n"/>
      <c r="S23" s="3" t="n"/>
      <c r="T23" s="3" t="n"/>
      <c r="U23" s="1" t="n"/>
      <c r="V23" s="3" t="n"/>
      <c r="W23" s="3" t="n"/>
      <c r="X23" s="1" t="n"/>
      <c r="Y23" s="3" t="n"/>
      <c r="Z23" s="3" t="n"/>
      <c r="AA23" s="1" t="n"/>
      <c r="AB23" s="3" t="n"/>
      <c r="AC23" s="3" t="n"/>
      <c r="AE23" s="3" t="n"/>
      <c r="AF23" s="3" t="n"/>
      <c r="AG23" s="1" t="n"/>
      <c r="AH23" s="3" t="n"/>
      <c r="AI23" s="3" t="n"/>
      <c r="AJ23" s="1" t="n"/>
      <c r="AK23" s="3" t="n"/>
      <c r="AL23" s="3" t="n"/>
      <c r="AM23" s="1" t="n"/>
      <c r="AN23" s="3" t="n"/>
      <c r="AO23" s="3" t="n"/>
      <c r="AP23" s="1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1" t="n"/>
      <c r="S24" s="3" t="n"/>
      <c r="T24" s="3" t="n"/>
      <c r="U24" s="1" t="n"/>
      <c r="V24" s="3" t="n"/>
      <c r="W24" s="3" t="n"/>
      <c r="X24" s="1" t="n"/>
      <c r="Y24" s="3" t="n"/>
      <c r="Z24" s="3" t="n"/>
      <c r="AA24" s="1" t="n"/>
      <c r="AB24" s="3" t="n"/>
      <c r="AC24" s="3" t="n"/>
      <c r="AE24" s="3" t="n"/>
      <c r="AF24" s="3" t="n"/>
      <c r="AG24" s="1" t="n"/>
      <c r="AH24" s="3" t="n"/>
      <c r="AI24" s="3" t="n"/>
      <c r="AJ24" s="1" t="n"/>
      <c r="AK24" s="3" t="n"/>
      <c r="AL24" s="3" t="n"/>
      <c r="AM24" s="1" t="n"/>
      <c r="AN24" s="3" t="n"/>
      <c r="AO24" s="3" t="n"/>
      <c r="AP24" s="1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1" t="n"/>
      <c r="S25" s="3" t="n"/>
      <c r="T25" s="3" t="n"/>
      <c r="U25" s="1" t="n"/>
      <c r="V25" s="3" t="n"/>
      <c r="W25" s="3" t="n"/>
      <c r="X25" s="1" t="n"/>
      <c r="Y25" s="3" t="n"/>
      <c r="Z25" s="3" t="n"/>
      <c r="AA25" s="1" t="n"/>
      <c r="AB25" s="3" t="n"/>
      <c r="AC25" s="3" t="n"/>
      <c r="AE25" s="3" t="n"/>
      <c r="AF25" s="3" t="n"/>
      <c r="AG25" s="1" t="n"/>
      <c r="AH25" s="3" t="n"/>
      <c r="AI25" s="3" t="n"/>
      <c r="AJ25" s="1" t="n"/>
      <c r="AK25" s="3" t="n"/>
      <c r="AL25" s="3" t="n"/>
      <c r="AM25" s="1" t="n"/>
      <c r="AN25" s="3" t="n"/>
      <c r="AO25" s="3" t="n"/>
      <c r="AP25" s="1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1" t="n"/>
      <c r="S26" s="3" t="n"/>
      <c r="T26" s="3" t="n"/>
      <c r="U26" s="1" t="n"/>
      <c r="V26" s="3" t="n"/>
      <c r="W26" s="3" t="n"/>
      <c r="X26" s="1" t="n"/>
      <c r="Y26" s="3" t="n"/>
      <c r="Z26" s="3" t="n"/>
      <c r="AA26" s="1" t="n"/>
      <c r="AB26" s="3" t="n"/>
      <c r="AC26" s="3" t="n"/>
      <c r="AE26" s="3" t="n"/>
      <c r="AF26" s="3" t="n"/>
      <c r="AG26" s="1" t="n"/>
      <c r="AH26" s="3" t="n"/>
      <c r="AI26" s="3" t="n"/>
      <c r="AJ26" s="1" t="n"/>
      <c r="AK26" s="3" t="n"/>
      <c r="AL26" s="3" t="n"/>
      <c r="AM26" s="1" t="n"/>
      <c r="AN26" s="3" t="n"/>
      <c r="AO26" s="3" t="n"/>
      <c r="AP26" s="1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1" t="n"/>
      <c r="S27" s="3" t="n"/>
      <c r="T27" s="3" t="n"/>
      <c r="U27" s="1" t="n"/>
      <c r="V27" s="3" t="n"/>
      <c r="W27" s="3" t="n"/>
      <c r="X27" s="1" t="n"/>
      <c r="Y27" s="3" t="n"/>
      <c r="Z27" s="3" t="n"/>
      <c r="AA27" s="1" t="n"/>
      <c r="AB27" s="3" t="n"/>
      <c r="AC27" s="3" t="n"/>
      <c r="AE27" s="3" t="n"/>
      <c r="AF27" s="3" t="n"/>
      <c r="AG27" s="1" t="n"/>
      <c r="AH27" s="3" t="n"/>
      <c r="AI27" s="3" t="n"/>
      <c r="AJ27" s="1" t="n"/>
      <c r="AK27" s="3" t="n"/>
      <c r="AL27" s="3" t="n"/>
      <c r="AM27" s="1" t="n"/>
      <c r="AN27" s="3" t="n"/>
      <c r="AO27" s="3" t="n"/>
      <c r="AP27" s="1" t="n"/>
      <c r="AQ27" s="3" t="n"/>
      <c r="AR27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G23"/>
  <sheetViews>
    <sheetView showGridLines="0" zoomScale="150" zoomScaleNormal="150" workbookViewId="0">
      <selection activeCell="A4" sqref="A4"/>
    </sheetView>
  </sheetViews>
  <sheetFormatPr baseColWidth="10" defaultRowHeight="16"/>
  <cols>
    <col width="7" customWidth="1" min="3" max="3"/>
    <col width="5.6640625" customWidth="1" min="6" max="6"/>
  </cols>
  <sheetData>
    <row r="2">
      <c r="A2" s="55" t="inlineStr">
        <is>
          <t>Piezometric Line 1</t>
        </is>
      </c>
      <c r="D2" s="56" t="inlineStr">
        <is>
          <t>Piezometric Line 2</t>
        </is>
      </c>
      <c r="G2" s="24" t="inlineStr">
        <is>
          <t>* piezometric line 2 is only required for rapid drawdown analysis</t>
        </is>
      </c>
    </row>
    <row r="3">
      <c r="A3" s="2" t="inlineStr">
        <is>
          <t>x</t>
        </is>
      </c>
      <c r="B3" s="2" t="inlineStr">
        <is>
          <t>y</t>
        </is>
      </c>
      <c r="D3" s="2" t="inlineStr">
        <is>
          <t>x</t>
        </is>
      </c>
      <c r="E3" s="2" t="inlineStr">
        <is>
          <t>y</t>
        </is>
      </c>
    </row>
    <row r="4">
      <c r="A4" s="3" t="n"/>
      <c r="B4" s="3" t="n"/>
      <c r="D4" s="3" t="n"/>
      <c r="E4" s="3" t="n"/>
    </row>
    <row r="5">
      <c r="A5" s="3" t="n"/>
      <c r="B5" s="3" t="n"/>
      <c r="D5" s="3" t="n"/>
      <c r="E5" s="3" t="n"/>
    </row>
    <row r="6">
      <c r="A6" s="3" t="n"/>
      <c r="B6" s="3" t="n"/>
      <c r="D6" s="3" t="n"/>
      <c r="E6" s="3" t="n"/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4" t="n"/>
      <c r="B12" s="4" t="n"/>
      <c r="D12" s="4" t="n"/>
      <c r="E12" s="4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N16"/>
  <sheetViews>
    <sheetView showGridLines="0" zoomScale="140" zoomScaleNormal="140" workbookViewId="0">
      <selection activeCell="L20" sqref="L20"/>
    </sheetView>
  </sheetViews>
  <sheetFormatPr baseColWidth="10" defaultRowHeight="16"/>
  <cols>
    <col width="6.83203125" customWidth="1" style="1" min="1" max="1"/>
    <col width="10.83203125" customWidth="1" style="1" min="2" max="10"/>
    <col width="47.83203125" customWidth="1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 t="n">
        <v>1</v>
      </c>
      <c r="B3" s="3" t="n">
        <v>72</v>
      </c>
      <c r="C3" s="3" t="n">
        <v>55</v>
      </c>
      <c r="D3" s="3" t="inlineStr">
        <is>
          <t>Depth</t>
        </is>
      </c>
      <c r="E3" s="3" t="n">
        <v>5</v>
      </c>
      <c r="F3" s="3" t="n"/>
      <c r="G3" s="3" t="n"/>
      <c r="H3" s="3" t="n"/>
      <c r="J3" s="1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>
        <v>72</v>
      </c>
      <c r="C4" s="3" t="n">
        <v>65</v>
      </c>
      <c r="D4" s="3" t="inlineStr">
        <is>
          <t>Depth</t>
        </is>
      </c>
      <c r="E4" s="3" t="n">
        <v>15</v>
      </c>
      <c r="F4" s="3" t="n"/>
      <c r="G4" s="3" t="n"/>
      <c r="H4" s="3" t="n"/>
      <c r="J4" s="1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>
        <v>72</v>
      </c>
      <c r="C5" s="3" t="n">
        <v>75</v>
      </c>
      <c r="D5" s="3" t="inlineStr">
        <is>
          <t>Depth</t>
        </is>
      </c>
      <c r="E5" s="3" t="n">
        <v>25</v>
      </c>
      <c r="F5" s="3" t="n"/>
      <c r="G5" s="3" t="n"/>
      <c r="H5" s="3" t="n"/>
      <c r="J5" s="1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</row>
    <row r="16">
      <c r="K16" s="1" t="n"/>
      <c r="L16" s="1" t="n"/>
      <c r="M16" s="1" t="n"/>
      <c r="N16" s="1" t="n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1" min="1" max="2"/>
    <col width="13.6640625" customWidth="1" style="1" min="3" max="3"/>
    <col width="33.6640625" customWidth="1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2"/>
  <sheetViews>
    <sheetView showGridLines="0" zoomScale="140" zoomScaleNormal="140" workbookViewId="0">
      <selection activeCell="H25" sqref="H25"/>
    </sheetView>
  </sheetViews>
  <sheetFormatPr baseColWidth="10" defaultRowHeight="16"/>
  <cols>
    <col width="3" customWidth="1" min="1" max="1"/>
    <col width="7.6640625" customWidth="1" min="2" max="4"/>
    <col width="3" customWidth="1" min="5" max="5"/>
    <col width="7.6640625" customWidth="1" min="6" max="8"/>
    <col width="3" customWidth="1" min="9" max="9"/>
    <col width="7.6640625" customWidth="1" min="10" max="12"/>
    <col width="3" customWidth="1" min="13" max="13"/>
    <col width="7.6640625" customWidth="1" min="14" max="16"/>
    <col width="3" customWidth="1" min="17" max="17"/>
    <col width="7.6640625" customWidth="1" min="18" max="20"/>
    <col width="3" customWidth="1" min="21" max="21"/>
    <col width="7.6640625" customWidth="1" min="22" max="24"/>
  </cols>
  <sheetData>
    <row r="2">
      <c r="B2" s="57" t="inlineStr">
        <is>
          <t>Distributed Load #1</t>
        </is>
      </c>
      <c r="C2" s="62" t="n"/>
      <c r="D2" s="62" t="n"/>
      <c r="F2" s="57" t="inlineStr">
        <is>
          <t>Distributed Load #2</t>
        </is>
      </c>
      <c r="G2" s="62" t="n"/>
      <c r="H2" s="62" t="n"/>
      <c r="J2" s="57" t="inlineStr">
        <is>
          <t>Distributed Load #3</t>
        </is>
      </c>
      <c r="K2" s="62" t="n"/>
      <c r="L2" s="62" t="n"/>
      <c r="N2" s="57" t="inlineStr">
        <is>
          <t>Distributed Load #4</t>
        </is>
      </c>
      <c r="O2" s="62" t="n"/>
      <c r="P2" s="62" t="n"/>
      <c r="R2" s="57" t="inlineStr">
        <is>
          <t>Distributed Load #5</t>
        </is>
      </c>
      <c r="S2" s="62" t="n"/>
      <c r="T2" s="62" t="n"/>
      <c r="V2" s="57" t="inlineStr">
        <is>
          <t>Distributed Load #6</t>
        </is>
      </c>
      <c r="W2" s="62" t="n"/>
      <c r="X2" s="62" t="n"/>
    </row>
    <row r="3">
      <c r="B3" s="2" t="inlineStr">
        <is>
          <t>X</t>
        </is>
      </c>
      <c r="C3" s="2" t="inlineStr">
        <is>
          <t>Y</t>
        </is>
      </c>
      <c r="D3" s="2" t="inlineStr">
        <is>
          <t>N</t>
        </is>
      </c>
      <c r="F3" s="2" t="inlineStr">
        <is>
          <t>X</t>
        </is>
      </c>
      <c r="G3" s="2" t="inlineStr">
        <is>
          <t>Y</t>
        </is>
      </c>
      <c r="H3" s="2" t="inlineStr">
        <is>
          <t>N</t>
        </is>
      </c>
      <c r="J3" s="2" t="inlineStr">
        <is>
          <t>X</t>
        </is>
      </c>
      <c r="K3" s="2" t="inlineStr">
        <is>
          <t>Y</t>
        </is>
      </c>
      <c r="L3" s="2" t="inlineStr">
        <is>
          <t>N</t>
        </is>
      </c>
      <c r="N3" s="2" t="inlineStr">
        <is>
          <t>X</t>
        </is>
      </c>
      <c r="O3" s="2" t="inlineStr">
        <is>
          <t>Y</t>
        </is>
      </c>
      <c r="P3" s="2" t="inlineStr">
        <is>
          <t>N</t>
        </is>
      </c>
      <c r="R3" s="2" t="inlineStr">
        <is>
          <t>X</t>
        </is>
      </c>
      <c r="S3" s="2" t="inlineStr">
        <is>
          <t>Y</t>
        </is>
      </c>
      <c r="T3" s="2" t="inlineStr">
        <is>
          <t>N</t>
        </is>
      </c>
      <c r="V3" s="2" t="inlineStr">
        <is>
          <t>X</t>
        </is>
      </c>
      <c r="W3" s="2" t="inlineStr">
        <is>
          <t>Y</t>
        </is>
      </c>
      <c r="X3" s="2" t="inlineStr">
        <is>
          <t>N</t>
        </is>
      </c>
    </row>
    <row r="4">
      <c r="B4" s="3" t="n"/>
      <c r="C4" s="3" t="n"/>
      <c r="D4" s="3" t="n"/>
      <c r="F4" s="3" t="n"/>
      <c r="G4" s="3" t="n"/>
      <c r="H4" s="3" t="n"/>
      <c r="J4" s="3" t="n"/>
      <c r="K4" s="3" t="n"/>
      <c r="L4" s="3" t="n"/>
      <c r="N4" s="3" t="n"/>
      <c r="O4" s="3" t="n"/>
      <c r="P4" s="3" t="n"/>
      <c r="R4" s="3" t="n"/>
      <c r="S4" s="3" t="n"/>
      <c r="T4" s="3" t="n"/>
      <c r="V4" s="3" t="n"/>
      <c r="W4" s="3" t="n"/>
      <c r="X4" s="3" t="n"/>
    </row>
    <row r="5">
      <c r="B5" s="3" t="n"/>
      <c r="C5" s="3" t="n"/>
      <c r="D5" s="3" t="n"/>
      <c r="F5" s="3" t="n"/>
      <c r="G5" s="3" t="n"/>
      <c r="H5" s="3" t="n"/>
      <c r="J5" s="3" t="n"/>
      <c r="K5" s="3" t="n"/>
      <c r="L5" s="3" t="n"/>
      <c r="N5" s="3" t="n"/>
      <c r="O5" s="3" t="n"/>
      <c r="P5" s="3" t="n"/>
      <c r="R5" s="3" t="n"/>
      <c r="S5" s="3" t="n"/>
      <c r="T5" s="3" t="n"/>
      <c r="V5" s="3" t="n"/>
      <c r="W5" s="3" t="n"/>
      <c r="X5" s="3" t="n"/>
    </row>
    <row r="6">
      <c r="B6" s="3" t="n"/>
      <c r="C6" s="3" t="n"/>
      <c r="D6" s="3" t="n"/>
      <c r="F6" s="3" t="n"/>
      <c r="G6" s="3" t="n"/>
      <c r="H6" s="3" t="n"/>
      <c r="J6" s="3" t="n"/>
      <c r="K6" s="3" t="n"/>
      <c r="L6" s="3" t="n"/>
      <c r="N6" s="3" t="n"/>
      <c r="O6" s="3" t="n"/>
      <c r="P6" s="3" t="n"/>
      <c r="R6" s="3" t="n"/>
      <c r="S6" s="3" t="n"/>
      <c r="T6" s="3" t="n"/>
      <c r="V6" s="3" t="n"/>
      <c r="W6" s="3" t="n"/>
      <c r="X6" s="3" t="n"/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</sheetData>
  <mergeCells count="6">
    <mergeCell ref="J2:L2"/>
    <mergeCell ref="N2:P2"/>
    <mergeCell ref="R2:T2"/>
    <mergeCell ref="F2:H2"/>
    <mergeCell ref="B2:D2"/>
    <mergeCell ref="V2:X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X22"/>
  <sheetViews>
    <sheetView showGridLines="0" zoomScale="140" zoomScaleNormal="140" workbookViewId="0">
      <selection activeCell="B4" sqref="B4"/>
    </sheetView>
  </sheetViews>
  <sheetFormatPr baseColWidth="10" defaultRowHeight="16"/>
  <cols>
    <col width="3" customWidth="1" min="1" max="1"/>
    <col width="7.6640625" customWidth="1" min="2" max="4"/>
    <col width="3" customWidth="1" min="5" max="5"/>
    <col width="7.6640625" customWidth="1" min="6" max="8"/>
    <col width="3" customWidth="1" min="9" max="9"/>
    <col width="7.6640625" customWidth="1" min="10" max="12"/>
    <col width="3" customWidth="1" min="13" max="13"/>
    <col width="7.6640625" customWidth="1" min="14" max="16"/>
    <col width="3" customWidth="1" min="17" max="17"/>
    <col width="7.6640625" customWidth="1" min="18" max="20"/>
    <col width="3" customWidth="1" min="21" max="21"/>
    <col width="7.6640625" customWidth="1" min="22" max="24"/>
  </cols>
  <sheetData>
    <row r="2">
      <c r="B2" s="58" t="inlineStr">
        <is>
          <t>Distributed Load #1 (2)</t>
        </is>
      </c>
      <c r="C2" s="62" t="n"/>
      <c r="D2" s="62" t="n"/>
      <c r="F2" s="58" t="inlineStr">
        <is>
          <t>Distributed Load #2 (2)</t>
        </is>
      </c>
      <c r="G2" s="62" t="n"/>
      <c r="H2" s="62" t="n"/>
      <c r="J2" s="58" t="inlineStr">
        <is>
          <t>Distributed Load #3 (2)</t>
        </is>
      </c>
      <c r="K2" s="62" t="n"/>
      <c r="L2" s="62" t="n"/>
      <c r="N2" s="58" t="inlineStr">
        <is>
          <t>Distributed Load #4 (2)</t>
        </is>
      </c>
      <c r="O2" s="62" t="n"/>
      <c r="P2" s="62" t="n"/>
      <c r="R2" s="58" t="inlineStr">
        <is>
          <t>Distributed Load #5 (2)</t>
        </is>
      </c>
      <c r="S2" s="62" t="n"/>
      <c r="T2" s="62" t="n"/>
      <c r="V2" s="58" t="inlineStr">
        <is>
          <t>Distributed Load #6 (2)</t>
        </is>
      </c>
      <c r="W2" s="62" t="n"/>
      <c r="X2" s="62" t="n"/>
    </row>
    <row r="3">
      <c r="B3" s="2" t="inlineStr">
        <is>
          <t>X</t>
        </is>
      </c>
      <c r="C3" s="2" t="inlineStr">
        <is>
          <t>Y</t>
        </is>
      </c>
      <c r="D3" s="2" t="inlineStr">
        <is>
          <t>N</t>
        </is>
      </c>
      <c r="F3" s="2" t="inlineStr">
        <is>
          <t>X</t>
        </is>
      </c>
      <c r="G3" s="2" t="inlineStr">
        <is>
          <t>Y</t>
        </is>
      </c>
      <c r="H3" s="2" t="inlineStr">
        <is>
          <t>N</t>
        </is>
      </c>
      <c r="J3" s="2" t="inlineStr">
        <is>
          <t>X</t>
        </is>
      </c>
      <c r="K3" s="2" t="inlineStr">
        <is>
          <t>Y</t>
        </is>
      </c>
      <c r="L3" s="2" t="inlineStr">
        <is>
          <t>N</t>
        </is>
      </c>
      <c r="N3" s="2" t="inlineStr">
        <is>
          <t>X</t>
        </is>
      </c>
      <c r="O3" s="2" t="inlineStr">
        <is>
          <t>Y</t>
        </is>
      </c>
      <c r="P3" s="2" t="inlineStr">
        <is>
          <t>N</t>
        </is>
      </c>
      <c r="R3" s="2" t="inlineStr">
        <is>
          <t>X</t>
        </is>
      </c>
      <c r="S3" s="2" t="inlineStr">
        <is>
          <t>Y</t>
        </is>
      </c>
      <c r="T3" s="2" t="inlineStr">
        <is>
          <t>N</t>
        </is>
      </c>
      <c r="V3" s="2" t="inlineStr">
        <is>
          <t>X</t>
        </is>
      </c>
      <c r="W3" s="2" t="inlineStr">
        <is>
          <t>Y</t>
        </is>
      </c>
      <c r="X3" s="2" t="inlineStr">
        <is>
          <t>N</t>
        </is>
      </c>
    </row>
    <row r="4">
      <c r="B4" s="3" t="n"/>
      <c r="C4" s="3" t="n"/>
      <c r="D4" s="3" t="n"/>
      <c r="F4" s="3" t="n"/>
      <c r="G4" s="3" t="n"/>
      <c r="H4" s="3" t="n"/>
      <c r="J4" s="3" t="n"/>
      <c r="K4" s="3" t="n"/>
      <c r="L4" s="3" t="n"/>
      <c r="N4" s="3" t="n"/>
      <c r="O4" s="3" t="n"/>
      <c r="P4" s="3" t="n"/>
      <c r="R4" s="3" t="n"/>
      <c r="S4" s="3" t="n"/>
      <c r="T4" s="3" t="n"/>
      <c r="V4" s="3" t="n"/>
      <c r="W4" s="3" t="n"/>
      <c r="X4" s="3" t="n"/>
    </row>
    <row r="5">
      <c r="B5" s="3" t="n"/>
      <c r="C5" s="3" t="n"/>
      <c r="D5" s="3" t="n"/>
      <c r="F5" s="3" t="n"/>
      <c r="G5" s="3" t="n"/>
      <c r="H5" s="3" t="n"/>
      <c r="J5" s="3" t="n"/>
      <c r="K5" s="3" t="n"/>
      <c r="L5" s="3" t="n"/>
      <c r="N5" s="3" t="n"/>
      <c r="O5" s="3" t="n"/>
      <c r="P5" s="3" t="n"/>
      <c r="R5" s="3" t="n"/>
      <c r="S5" s="3" t="n"/>
      <c r="T5" s="3" t="n"/>
      <c r="V5" s="3" t="n"/>
      <c r="W5" s="3" t="n"/>
      <c r="X5" s="3" t="n"/>
    </row>
    <row r="6">
      <c r="B6" s="3" t="n"/>
      <c r="C6" s="3" t="n"/>
      <c r="D6" s="3" t="n"/>
      <c r="F6" s="3" t="n"/>
      <c r="G6" s="3" t="n"/>
      <c r="H6" s="3" t="n"/>
      <c r="J6" s="3" t="n"/>
      <c r="K6" s="3" t="n"/>
      <c r="L6" s="3" t="n"/>
      <c r="N6" s="3" t="n"/>
      <c r="O6" s="3" t="n"/>
      <c r="P6" s="3" t="n"/>
      <c r="R6" s="3" t="n"/>
      <c r="S6" s="3" t="n"/>
      <c r="T6" s="3" t="n"/>
      <c r="V6" s="3" t="n"/>
      <c r="W6" s="3" t="n"/>
      <c r="X6" s="3" t="n"/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</sheetData>
  <mergeCells count="6">
    <mergeCell ref="J2:L2"/>
    <mergeCell ref="N2:P2"/>
    <mergeCell ref="R2:T2"/>
    <mergeCell ref="F2:H2"/>
    <mergeCell ref="B2:D2"/>
    <mergeCell ref="V2:X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N25"/>
  <sheetViews>
    <sheetView showGridLines="0" zoomScale="140" zoomScaleNormal="140" workbookViewId="0">
      <selection activeCell="G27" sqref="G27"/>
    </sheetView>
  </sheetViews>
  <sheetFormatPr baseColWidth="10" defaultRowHeight="16"/>
  <cols>
    <col width="4.83203125" customWidth="1" style="1" min="1" max="1"/>
    <col width="10.83203125" customWidth="1" style="1" min="2" max="11"/>
    <col width="7.6640625" customWidth="1" min="12" max="12"/>
  </cols>
  <sheetData>
    <row r="2">
      <c r="A2" s="12" t="inlineStr">
        <is>
          <t>#</t>
        </is>
      </c>
      <c r="B2" s="12" t="inlineStr">
        <is>
          <t>x1</t>
        </is>
      </c>
      <c r="C2" s="12" t="inlineStr">
        <is>
          <t>y1</t>
        </is>
      </c>
      <c r="D2" s="12" t="inlineStr">
        <is>
          <t>x2</t>
        </is>
      </c>
      <c r="E2" s="12" t="inlineStr">
        <is>
          <t>y2</t>
        </is>
      </c>
      <c r="F2" s="32" t="inlineStr">
        <is>
          <t>Tmax</t>
        </is>
      </c>
      <c r="G2" s="33" t="inlineStr">
        <is>
          <t>Tres</t>
        </is>
      </c>
      <c r="H2" s="32" t="inlineStr">
        <is>
          <t>Lp1</t>
        </is>
      </c>
      <c r="I2" s="32" t="inlineStr">
        <is>
          <t>Lp2</t>
        </is>
      </c>
      <c r="J2" s="33" t="inlineStr">
        <is>
          <t>E</t>
        </is>
      </c>
      <c r="K2" s="33" t="inlineStr">
        <is>
          <t>Area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M14" s="31" t="n"/>
      <c r="N14" s="9" t="inlineStr">
        <is>
          <t>Required for both LEM and FEM</t>
        </is>
      </c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M15" s="34" t="n"/>
      <c r="N15" s="9" t="inlineStr">
        <is>
          <t>Required for FEM only</t>
        </is>
      </c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4">
      <c r="H24" s="9" t="n"/>
      <c r="I24" s="9" t="n"/>
    </row>
    <row r="25">
      <c r="H25" s="9" t="n"/>
      <c r="I25" s="9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Z15"/>
  <sheetViews>
    <sheetView showGridLines="0" tabSelected="1" zoomScale="140" zoomScaleNormal="140" workbookViewId="0">
      <selection activeCell="R23" sqref="R23"/>
    </sheetView>
  </sheetViews>
  <sheetFormatPr baseColWidth="10" defaultRowHeight="16"/>
  <cols>
    <col width="4.83203125" customWidth="1" style="1" min="1" max="1"/>
    <col width="11.5" customWidth="1" style="1" min="2" max="2"/>
    <col width="10.83203125" customWidth="1" style="1" min="3" max="16"/>
    <col width="3.83203125" customWidth="1" min="17" max="17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5" t="inlineStr">
        <is>
          <t>H</t>
        </is>
      </c>
      <c r="H2" s="45" t="inlineStr">
        <is>
          <t>qp</t>
        </is>
      </c>
      <c r="I2" s="32" t="inlineStr">
        <is>
          <t>D</t>
        </is>
      </c>
      <c r="J2" s="32" t="inlineStr">
        <is>
          <t>S</t>
        </is>
      </c>
      <c r="K2" s="33" t="inlineStr">
        <is>
          <t>E</t>
        </is>
      </c>
      <c r="L2" s="33" t="inlineStr">
        <is>
          <t>I</t>
        </is>
      </c>
      <c r="M2" s="33" t="inlineStr">
        <is>
          <t>Area</t>
        </is>
      </c>
      <c r="N2" s="46" t="inlineStr">
        <is>
          <t>Vcap</t>
        </is>
      </c>
      <c r="O2" s="46" t="inlineStr">
        <is>
          <t>Mcap</t>
        </is>
      </c>
      <c r="P2" s="33" t="inlineStr">
        <is>
          <t>Fixity</t>
        </is>
      </c>
      <c r="Z2" t="inlineStr">
        <is>
          <t>Free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Z3" t="inlineStr">
        <is>
          <t>Fixed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R13" s="47" t="n"/>
      <c r="S13" t="inlineStr">
        <is>
          <t>LEM only</t>
        </is>
      </c>
    </row>
    <row r="14">
      <c r="I14" s="9" t="n"/>
      <c r="J14" s="9" t="n"/>
      <c r="R14" s="31" t="n"/>
      <c r="S14" s="9" t="inlineStr">
        <is>
          <t>LEM &amp; FEM</t>
        </is>
      </c>
    </row>
    <row r="15">
      <c r="I15" s="9" t="n"/>
      <c r="J15" s="9" t="n"/>
      <c r="R15" s="34" t="n"/>
      <c r="S15" s="9" t="inlineStr">
        <is>
          <t>FEM only</t>
        </is>
      </c>
    </row>
  </sheetData>
  <dataValidations count="1">
    <dataValidation sqref="P3:P12" showDropDown="0" showInputMessage="1" showErrorMessage="1" allowBlank="1" type="list">
      <formula1>$Z$2:$Z$3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R24"/>
  <sheetViews>
    <sheetView showGridLines="0" zoomScale="140" zoomScaleNormal="140" workbookViewId="0">
      <selection activeCell="G17" sqref="G17:H17"/>
    </sheetView>
  </sheetViews>
  <sheetFormatPr baseColWidth="10" defaultRowHeight="16"/>
  <cols>
    <col width="3" customWidth="1" min="1" max="1"/>
    <col width="3" customWidth="1" min="4" max="4"/>
    <col width="4" customWidth="1" min="7" max="7"/>
    <col width="4.33203125" customWidth="1" min="10" max="10"/>
    <col width="3" customWidth="1" min="13" max="13"/>
    <col width="4" customWidth="1" min="16" max="16"/>
  </cols>
  <sheetData>
    <row r="2">
      <c r="B2" s="59" t="inlineStr">
        <is>
          <t>Exit Face</t>
        </is>
      </c>
      <c r="C2" s="63" t="n"/>
      <c r="E2" s="55" t="inlineStr">
        <is>
          <t>Specified Head #1</t>
        </is>
      </c>
      <c r="H2" s="55" t="inlineStr">
        <is>
          <t>Specified Head #2</t>
        </is>
      </c>
      <c r="K2" s="55" t="inlineStr">
        <is>
          <t>Specified Head #3</t>
        </is>
      </c>
      <c r="N2" s="55" t="inlineStr">
        <is>
          <t>Specified Head #4</t>
        </is>
      </c>
      <c r="Q2" s="55" t="inlineStr">
        <is>
          <t>Specified Head #5</t>
        </is>
      </c>
    </row>
    <row r="3">
      <c r="B3" s="64" t="n"/>
      <c r="C3" s="65" t="n"/>
      <c r="E3" s="37" t="inlineStr">
        <is>
          <t>Head:</t>
        </is>
      </c>
      <c r="F3" s="38" t="n"/>
      <c r="H3" s="37" t="inlineStr">
        <is>
          <t>Head:</t>
        </is>
      </c>
      <c r="I3" s="38" t="n"/>
      <c r="K3" s="37" t="inlineStr">
        <is>
          <t>Head:</t>
        </is>
      </c>
      <c r="L3" s="38" t="n"/>
      <c r="N3" s="37" t="inlineStr">
        <is>
          <t>Head:</t>
        </is>
      </c>
      <c r="O3" s="38" t="n"/>
      <c r="Q3" s="37" t="inlineStr">
        <is>
          <t>Head:</t>
        </is>
      </c>
      <c r="R3" s="38" t="n"/>
    </row>
    <row r="4">
      <c r="B4" s="28" t="inlineStr">
        <is>
          <t>x</t>
        </is>
      </c>
      <c r="C4" s="28" t="inlineStr">
        <is>
          <t>y</t>
        </is>
      </c>
      <c r="E4" s="28" t="inlineStr">
        <is>
          <t>x</t>
        </is>
      </c>
      <c r="F4" s="28" t="inlineStr">
        <is>
          <t>y</t>
        </is>
      </c>
      <c r="H4" s="28" t="inlineStr">
        <is>
          <t>x</t>
        </is>
      </c>
      <c r="I4" s="28" t="inlineStr">
        <is>
          <t>y</t>
        </is>
      </c>
      <c r="K4" s="28" t="inlineStr">
        <is>
          <t>x</t>
        </is>
      </c>
      <c r="L4" s="28" t="inlineStr">
        <is>
          <t>y</t>
        </is>
      </c>
      <c r="N4" s="28" t="inlineStr">
        <is>
          <t>x</t>
        </is>
      </c>
      <c r="O4" s="28" t="inlineStr">
        <is>
          <t>y</t>
        </is>
      </c>
      <c r="Q4" s="28" t="inlineStr">
        <is>
          <t>x</t>
        </is>
      </c>
      <c r="R4" s="28" t="inlineStr">
        <is>
          <t>y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R24"/>
  <sheetViews>
    <sheetView showGridLines="0" zoomScale="140" zoomScaleNormal="140" workbookViewId="0">
      <selection activeCell="F6" sqref="F6"/>
    </sheetView>
  </sheetViews>
  <sheetFormatPr baseColWidth="10" defaultRowHeight="16"/>
  <cols>
    <col width="3" customWidth="1" min="1" max="1"/>
    <col width="3" customWidth="1" min="4" max="4"/>
    <col width="4" customWidth="1" min="7" max="7"/>
    <col width="4.33203125" customWidth="1" min="10" max="10"/>
    <col width="3" customWidth="1" min="13" max="13"/>
    <col width="4" customWidth="1" min="16" max="16"/>
  </cols>
  <sheetData>
    <row r="2">
      <c r="B2" s="60" t="inlineStr">
        <is>
          <t>Exit Face (2)</t>
        </is>
      </c>
      <c r="C2" s="63" t="n"/>
      <c r="E2" s="56" t="inlineStr">
        <is>
          <t>Specified Head #1 (2)</t>
        </is>
      </c>
      <c r="H2" s="56" t="inlineStr">
        <is>
          <t>Specified Head #2 (2)</t>
        </is>
      </c>
      <c r="K2" s="56" t="inlineStr">
        <is>
          <t>Specified Head #3 (2)</t>
        </is>
      </c>
      <c r="N2" s="56" t="inlineStr">
        <is>
          <t>Specified Head #4 (2)</t>
        </is>
      </c>
      <c r="Q2" s="56" t="inlineStr">
        <is>
          <t>Specified Head #5 (2)</t>
        </is>
      </c>
    </row>
    <row r="3">
      <c r="B3" s="64" t="n"/>
      <c r="C3" s="65" t="n"/>
      <c r="E3" s="39" t="inlineStr">
        <is>
          <t>Head:</t>
        </is>
      </c>
      <c r="F3" s="40" t="n"/>
      <c r="H3" s="39" t="inlineStr">
        <is>
          <t>Head:</t>
        </is>
      </c>
      <c r="I3" s="40" t="n"/>
      <c r="K3" s="39" t="inlineStr">
        <is>
          <t>Head:</t>
        </is>
      </c>
      <c r="L3" s="40" t="n"/>
      <c r="N3" s="39" t="inlineStr">
        <is>
          <t>Head:</t>
        </is>
      </c>
      <c r="O3" s="40" t="n"/>
      <c r="Q3" s="39" t="inlineStr">
        <is>
          <t>Head:</t>
        </is>
      </c>
      <c r="R3" s="40" t="n"/>
    </row>
    <row r="4">
      <c r="B4" s="28" t="inlineStr">
        <is>
          <t>x</t>
        </is>
      </c>
      <c r="C4" s="28" t="inlineStr">
        <is>
          <t>y</t>
        </is>
      </c>
      <c r="E4" s="28" t="inlineStr">
        <is>
          <t>x</t>
        </is>
      </c>
      <c r="F4" s="28" t="inlineStr">
        <is>
          <t>y</t>
        </is>
      </c>
      <c r="H4" s="28" t="inlineStr">
        <is>
          <t>x</t>
        </is>
      </c>
      <c r="I4" s="28" t="inlineStr">
        <is>
          <t>y</t>
        </is>
      </c>
      <c r="K4" s="28" t="inlineStr">
        <is>
          <t>x</t>
        </is>
      </c>
      <c r="L4" s="28" t="inlineStr">
        <is>
          <t>y</t>
        </is>
      </c>
      <c r="N4" s="28" t="inlineStr">
        <is>
          <t>x</t>
        </is>
      </c>
      <c r="O4" s="28" t="inlineStr">
        <is>
          <t>y</t>
        </is>
      </c>
      <c r="Q4" s="28" t="inlineStr">
        <is>
          <t>x</t>
        </is>
      </c>
      <c r="R4" s="28" t="inlineStr">
        <is>
          <t>y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2026-03-26T13:53:41Z</dcterms:modified>
  <cp:lastModifiedBy>Norm Jones</cp:lastModifiedBy>
</cp:coreProperties>
</file>