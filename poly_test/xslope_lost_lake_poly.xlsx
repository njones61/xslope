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B3293A3-B1F8-4840-BCCF-D44260C5241D}" xr6:coauthVersionLast="47" xr6:coauthVersionMax="47" xr10:uidLastSave="{00000000-0000-0000-0000-000000000000}"/>
  <bookViews>
    <workbookView xWindow="25040" yWindow="2500" windowWidth="42700" windowHeight="22800" activeTab="11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seep bc" sheetId="11" r:id="rId13"/>
    <sheet name="seep bc (2)" sheetId="14" r:id="rId14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<sst xmlns="http://schemas.openxmlformats.org/spreadsheetml/2006/main" count="357" uniqueCount="181">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</sst>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99788</xdr:rowOff>
    </xdr:from>
    <xdr:to>
      <xdr:col>16</xdr:col>
      <xdr:colOff>780143</xdr:colOff>
      <xdr:row>11</xdr:row>
      <xdr:rowOff>181429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1"/>
          <a:ext cx="4354286" cy="187778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r>
            <a:rPr lang="en-US" sz="1100" b="1" baseline="0"/>
            <a:t>Tmax</a:t>
          </a:r>
          <a:r>
            <a:rPr lang="en-US" sz="1100" baseline="0"/>
            <a:t> = maximum tensile strength (per unit width) of reinforcement material. </a:t>
          </a:r>
        </a:p>
        <a:p>
          <a:r>
            <a:rPr lang="en-US" sz="1100" b="1" baseline="0"/>
            <a:t>Tres</a:t>
          </a:r>
          <a:r>
            <a:rPr lang="en-US" sz="1100" baseline="0"/>
            <a:t> = residual strenth (per unit width) of reinfocement material.</a:t>
          </a:r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E</a:t>
          </a:r>
          <a:r>
            <a:rPr lang="en-US" sz="1100" baseline="0"/>
            <a:t> = Young's modulus of reinforcement material (force/length^2)</a:t>
          </a:r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material.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290285</xdr:colOff>
      <xdr:row>1</xdr:row>
      <xdr:rowOff>18144</xdr:rowOff>
    </xdr:from>
    <xdr:to>
      <xdr:col>20</xdr:col>
      <xdr:colOff>680357</xdr:colOff>
      <xdr:row>11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3099142" y="217715"/>
          <a:ext cx="3156858" cy="198664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for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10</v>
      </c>
    </row>
    <row r="7" spans="1:7" x14ac:dyDescent="0.2">
      <c r="B7" s="48" t="s">
        <v>47</v>
      </c>
      <c r="C7" s="48"/>
      <c r="D7" s="48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9" t="s">
        <v>57</v>
      </c>
      <c r="D7" s="49"/>
      <c r="E7" s="49"/>
      <c r="F7" s="49"/>
      <c r="G7" s="49"/>
      <c r="H7" s="49"/>
      <c r="I7" s="49"/>
      <c r="J7" s="49"/>
      <c r="K7" s="1"/>
      <c r="L7" s="49" t="s">
        <v>58</v>
      </c>
      <c r="M7" s="49"/>
      <c r="N7" s="49"/>
      <c r="O7" s="49"/>
      <c r="P7" s="49"/>
      <c r="Q7" s="49"/>
      <c r="R7" s="49" t="s">
        <v>93</v>
      </c>
      <c r="S7" s="49"/>
      <c r="T7" s="49"/>
      <c r="U7" s="49"/>
      <c r="V7" s="49"/>
      <c r="W7" s="49" t="s">
        <v>100</v>
      </c>
      <c r="X7" s="49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151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152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inlineStr">
        <is>
          <t>Rip Rap</t>
        </is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>
        <v>100000</v>
      </c>
      <c r="S9" s="3">
        <v>100000</v>
      </c>
      <c r="T9" s="3">
        <v>0</v>
      </c>
      <c r="U9" s="3">
        <v>0.0001</v>
      </c>
      <c r="V9" s="3">
        <v>-1</v>
      </c>
      <c r="W9" s="3"/>
      <c r="X9" s="3"/>
    </row>
    <row r="10" spans="1:24" x14ac:dyDescent="0.2">
      <c r="A10" s="3">
        <v>2</v>
      </c>
      <c r="B10" s="3" t="inlineStr">
        <is>
          <t>Shell</t>
        </is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>
        <v>250</v>
      </c>
      <c r="S10" s="3">
        <v>50</v>
      </c>
      <c r="T10" s="3">
        <v>0</v>
      </c>
      <c r="U10" s="3">
        <v>0.0001</v>
      </c>
      <c r="V10" s="3">
        <v>-1</v>
      </c>
      <c r="W10" s="3"/>
      <c r="X10" s="3"/>
    </row>
    <row r="11" spans="1:24" x14ac:dyDescent="0.2">
      <c r="A11" s="3">
        <v>3</v>
      </c>
      <c r="B11" s="3" t="inlineStr">
        <is>
          <t>Clay Core</t>
        </is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>
        <v>0.1</v>
      </c>
      <c r="S11" s="3">
        <v>0.1</v>
      </c>
      <c r="T11" s="3">
        <v>0</v>
      </c>
      <c r="U11" s="3">
        <v>0.0001</v>
      </c>
      <c r="V11" s="3">
        <v>-1</v>
      </c>
      <c r="W11" s="3"/>
      <c r="X11" s="3"/>
    </row>
    <row r="12" spans="1:24" x14ac:dyDescent="0.2">
      <c r="A12" s="3">
        <v>4</v>
      </c>
      <c r="B12" s="3" t="inlineStr">
        <is>
          <t>Drain</t>
        </is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>
        <v>10000</v>
      </c>
      <c r="S12" s="3">
        <v>10000</v>
      </c>
      <c r="T12" s="3">
        <v>0</v>
      </c>
      <c r="U12" s="3">
        <v>0.0001</v>
      </c>
      <c r="V12" s="3">
        <v>-1</v>
      </c>
      <c r="W12" s="3"/>
      <c r="X12" s="3"/>
    </row>
    <row r="13" spans="1:24" x14ac:dyDescent="0.2">
      <c r="A13" s="3">
        <v>5</v>
      </c>
      <c r="B13" s="3" t="inlineStr">
        <is>
          <t>Filter</t>
        </is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>
        <v>1000</v>
      </c>
      <c r="S13" s="3">
        <v>1000</v>
      </c>
      <c r="T13" s="3">
        <v>0</v>
      </c>
      <c r="U13" s="3">
        <v>0.0001</v>
      </c>
      <c r="V13" s="3">
        <v>-1</v>
      </c>
      <c r="W13" s="3"/>
      <c r="X13" s="3"/>
    </row>
    <row r="14" spans="1:24" x14ac:dyDescent="0.2">
      <c r="A14" s="3">
        <v>6</v>
      </c>
      <c r="B14" s="3" t="inlineStr">
        <is>
          <t>Glacial Till</t>
        </is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>
        <v>4000</v>
      </c>
      <c r="S14" s="3">
        <v>2000</v>
      </c>
      <c r="T14" s="3">
        <v>0</v>
      </c>
      <c r="U14" s="3">
        <v>0.0001</v>
      </c>
      <c r="V14" s="3">
        <v>-1</v>
      </c>
      <c r="W14" s="3"/>
      <c r="X14" s="3"/>
    </row>
    <row r="15" spans="1:24" x14ac:dyDescent="0.2">
      <c r="A15" s="3">
        <v>7</v>
      </c>
      <c r="B15" s="3" t="inlineStr">
        <is>
          <t>Grouted Bedrock</t>
        </is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>
        <v>250</v>
      </c>
      <c r="S15" s="3">
        <v>250</v>
      </c>
      <c r="T15" s="3">
        <v>0</v>
      </c>
      <c r="U15" s="3">
        <v>0.0001</v>
      </c>
      <c r="V15" s="3">
        <v>-1</v>
      </c>
      <c r="W15" s="3"/>
      <c r="X15" s="3"/>
    </row>
    <row r="16" spans="1:24" x14ac:dyDescent="0.2">
      <c r="A16" s="3">
        <v>8</v>
      </c>
      <c r="B16" s="3" t="inlineStr">
        <is>
          <t>Bedrock</t>
        </is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>
        <v>2000</v>
      </c>
      <c r="S16" s="3">
        <v>1000</v>
      </c>
      <c r="T16" s="3">
        <v>0</v>
      </c>
      <c r="U16" s="3">
        <v>0.0001</v>
      </c>
      <c r="V16" s="3">
        <v>-1</v>
      </c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N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8" sqref="A8:B10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94</v>
      </c>
    </row>
    <row r="4" spans="1:44" x14ac:dyDescent="0.2">
      <c r="A4" s="50" t="s">
        <v>2</v>
      </c>
      <c r="B4" s="50"/>
      <c r="D4" s="50" t="s">
        <v>5</v>
      </c>
      <c r="E4" s="50"/>
      <c r="G4" s="50" t="s">
        <v>6</v>
      </c>
      <c r="H4" s="50"/>
      <c r="J4" s="50" t="s">
        <v>7</v>
      </c>
      <c r="K4" s="50"/>
      <c r="M4" s="50" t="s">
        <v>8</v>
      </c>
      <c r="N4" s="50"/>
      <c r="P4" s="50" t="s">
        <v>9</v>
      </c>
      <c r="Q4" s="50"/>
      <c r="R4" s="1"/>
      <c r="S4" s="50" t="s">
        <v>10</v>
      </c>
      <c r="T4" s="50"/>
      <c r="U4" s="1"/>
      <c r="V4" s="50" t="s">
        <v>11</v>
      </c>
      <c r="W4" s="50"/>
      <c r="X4" s="1"/>
      <c r="Y4" s="50" t="s">
        <v>12</v>
      </c>
      <c r="Z4" s="50"/>
      <c r="AA4" s="1"/>
      <c r="AB4" s="50" t="s">
        <v>13</v>
      </c>
      <c r="AC4" s="50"/>
      <c r="AE4" s="50" t="s">
        <v>114</v>
      </c>
      <c r="AF4" s="50"/>
      <c r="AG4" s="1"/>
      <c r="AH4" s="50" t="s">
        <v>115</v>
      </c>
      <c r="AI4" s="50"/>
      <c r="AJ4" s="1"/>
      <c r="AK4" s="50" t="s">
        <v>116</v>
      </c>
      <c r="AL4" s="50"/>
      <c r="AM4" s="1"/>
      <c r="AN4" s="50" t="s">
        <v>117</v>
      </c>
      <c r="AO4" s="50"/>
      <c r="AP4" s="1"/>
      <c r="AQ4" s="50" t="s">
        <v>118</v>
      </c>
      <c r="AR4" s="50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51" t="str">
        <f>_xlfn.XLOOKUP(B5,mat!$A:$A, mat!$B:$B,"") &amp; ""</f>
        <v/>
      </c>
      <c r="B6" s="52"/>
      <c r="D6" s="51" t="str">
        <f>_xlfn.XLOOKUP(E5,mat!$A:$A, mat!$B:$B,"") &amp; ""</f>
        <v/>
      </c>
      <c r="E6" s="52"/>
      <c r="G6" s="51" t="str">
        <f>_xlfn.XLOOKUP(H5,mat!$A:$A, mat!$B:$B,"") &amp; ""</f>
        <v/>
      </c>
      <c r="H6" s="52"/>
      <c r="J6" s="51" t="str">
        <f>_xlfn.XLOOKUP(K5,mat!$A:$A, mat!$B:$B,"") &amp; ""</f>
        <v/>
      </c>
      <c r="K6" s="52"/>
      <c r="M6" s="51" t="str">
        <f>_xlfn.XLOOKUP(N5,mat!$A:$A, mat!$B:$B,"") &amp; ""</f>
        <v/>
      </c>
      <c r="N6" s="52"/>
      <c r="P6" s="51" t="str">
        <f>_xlfn.XLOOKUP(Q5,mat!$A:$A, mat!$B:$B,"") &amp; ""</f>
        <v/>
      </c>
      <c r="Q6" s="52"/>
      <c r="R6" s="1"/>
      <c r="S6" s="51" t="str">
        <f>_xlfn.XLOOKUP(T5,mat!$A:$A, mat!$B:$B,"") &amp; ""</f>
        <v/>
      </c>
      <c r="T6" s="52"/>
      <c r="U6" s="1"/>
      <c r="V6" s="51" t="str">
        <f>_xlfn.XLOOKUP(W5,mat!$A:$A, mat!$B:$B,"") &amp; ""</f>
        <v/>
      </c>
      <c r="W6" s="52"/>
      <c r="X6" s="1"/>
      <c r="Y6" s="51" t="str">
        <f>_xlfn.XLOOKUP(Z5,mat!$A:$A, mat!$B:$B,"") &amp; ""</f>
        <v/>
      </c>
      <c r="Z6" s="52"/>
      <c r="AA6" s="1"/>
      <c r="AB6" s="51" t="str">
        <f>_xlfn.XLOOKUP(AC5,mat!$A:$A, mat!$B:$B,"") &amp; ""</f>
        <v/>
      </c>
      <c r="AC6" s="52"/>
      <c r="AE6" s="51" t="str">
        <f>_xlfn.XLOOKUP(AF5,mat!$A:$A, mat!$B:$B,"") &amp; ""</f>
        <v/>
      </c>
      <c r="AF6" s="52"/>
      <c r="AG6" s="1"/>
      <c r="AH6" s="51" t="str">
        <f>_xlfn.XLOOKUP(AI5,mat!$A:$A, mat!$B:$B,"") &amp; ""</f>
        <v/>
      </c>
      <c r="AI6" s="52"/>
      <c r="AJ6" s="1"/>
      <c r="AK6" s="51" t="str">
        <f>_xlfn.XLOOKUP(AL5,mat!$A:$A, mat!$B:$B,"") &amp; ""</f>
        <v/>
      </c>
      <c r="AL6" s="52"/>
      <c r="AM6" s="1"/>
      <c r="AN6" s="51" t="str">
        <f>_xlfn.XLOOKUP(AO5,mat!$A:$A, mat!$B:$B,"") &amp; ""</f>
        <v/>
      </c>
      <c r="AO6" s="52"/>
      <c r="AP6" s="1"/>
      <c r="AQ6" s="51" t="str">
        <f>_xlfn.XLOOKUP(AR5,mat!$A:$A, mat!$B:$B,"") &amp; ""</f>
        <v/>
      </c>
      <c r="AR6" s="52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1F6A4-7395-D742-B12A-DB33E9D92D43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172</v>
      </c>
    </row>
    <row r="4" spans="1:44" x14ac:dyDescent="0.2">
      <c r="A4" s="50" t="s">
        <v>153</v>
      </c>
      <c r="B4" s="50"/>
      <c r="D4" s="50" t="s">
        <v>154</v>
      </c>
      <c r="E4" s="50"/>
      <c r="G4" s="50" t="s">
        <v>155</v>
      </c>
      <c r="H4" s="50"/>
      <c r="J4" s="50" t="s">
        <v>156</v>
      </c>
      <c r="K4" s="50"/>
      <c r="M4" s="50" t="s">
        <v>157</v>
      </c>
      <c r="N4" s="50"/>
      <c r="P4" s="50" t="s">
        <v>158</v>
      </c>
      <c r="Q4" s="50"/>
      <c r="R4" s="1"/>
      <c r="S4" s="50" t="s">
        <v>159</v>
      </c>
      <c r="T4" s="50"/>
      <c r="U4" s="1"/>
      <c r="V4" s="50" t="s">
        <v>160</v>
      </c>
      <c r="W4" s="50"/>
      <c r="X4" s="1"/>
      <c r="Y4" s="50" t="s">
        <v>161</v>
      </c>
      <c r="Z4" s="50"/>
      <c r="AA4" s="1"/>
      <c r="AB4" s="50" t="s">
        <v>162</v>
      </c>
      <c r="AC4" s="50"/>
      <c r="AE4" s="50" t="s">
        <v>163</v>
      </c>
      <c r="AF4" s="50"/>
      <c r="AG4" s="1"/>
      <c r="AH4" s="50" t="s">
        <v>164</v>
      </c>
      <c r="AI4" s="50"/>
      <c r="AJ4" s="1"/>
      <c r="AK4" s="50" t="s">
        <v>165</v>
      </c>
      <c r="AL4" s="50"/>
      <c r="AM4" s="1"/>
      <c r="AN4" s="50" t="s">
        <v>166</v>
      </c>
      <c r="AO4" s="50"/>
      <c r="AP4" s="1"/>
      <c r="AQ4" s="50" t="s">
        <v>167</v>
      </c>
      <c r="AR4" s="50"/>
    </row>
    <row r="5" spans="1:44" x14ac:dyDescent="0.2">
      <c r="A5" s="43" t="s">
        <v>126</v>
      </c>
      <c r="B5" s="44">
        <v>1</v>
      </c>
      <c r="D5" s="43" t="s">
        <v>126</v>
      </c>
      <c r="E5" s="44">
        <v>2</v>
      </c>
      <c r="G5" s="43" t="s">
        <v>126</v>
      </c>
      <c r="H5" s="44">
        <v>1</v>
      </c>
      <c r="J5" s="43" t="s">
        <v>126</v>
      </c>
      <c r="K5" s="44">
        <v>2</v>
      </c>
      <c r="M5" s="43" t="s">
        <v>126</v>
      </c>
      <c r="N5" s="44">
        <v>3</v>
      </c>
      <c r="P5" s="43" t="s">
        <v>126</v>
      </c>
      <c r="Q5" s="44">
        <v>2</v>
      </c>
      <c r="R5" s="1"/>
      <c r="S5" s="43" t="s">
        <v>126</v>
      </c>
      <c r="T5" s="44">
        <v>4</v>
      </c>
      <c r="U5" s="1"/>
      <c r="V5" s="43" t="s">
        <v>126</v>
      </c>
      <c r="W5" s="44">
        <v>5</v>
      </c>
      <c r="X5" s="1"/>
      <c r="Y5" s="43" t="s">
        <v>126</v>
      </c>
      <c r="Z5" s="44">
        <v>6</v>
      </c>
      <c r="AA5" s="1"/>
      <c r="AB5" s="43" t="s">
        <v>126</v>
      </c>
      <c r="AC5" s="44">
        <v>6</v>
      </c>
      <c r="AE5" s="43" t="s">
        <v>126</v>
      </c>
      <c r="AF5" s="44">
        <v>7</v>
      </c>
      <c r="AG5" s="1"/>
      <c r="AH5" s="43" t="s">
        <v>126</v>
      </c>
      <c r="AI5" s="44">
        <v>8</v>
      </c>
      <c r="AJ5" s="1"/>
      <c r="AK5" s="43" t="s">
        <v>126</v>
      </c>
      <c r="AL5" s="44">
        <v>13</v>
      </c>
      <c r="AM5" s="1"/>
      <c r="AN5" s="43" t="s">
        <v>126</v>
      </c>
      <c r="AO5" s="44">
        <v>14</v>
      </c>
      <c r="AP5" s="1"/>
      <c r="AQ5" s="43" t="s">
        <v>126</v>
      </c>
      <c r="AR5" s="44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150.0</v>
      </c>
      <c r="B8" s="3">
        <v>200.0</v>
      </c>
      <c r="D8" s="3">
        <v>240.0</v>
      </c>
      <c r="E8" s="3">
        <v>230.0</v>
      </c>
      <c r="G8" s="3">
        <v>260.0</v>
      </c>
      <c r="H8" s="3">
        <v>230.0</v>
      </c>
      <c r="J8" s="3">
        <v>153.0</v>
      </c>
      <c r="K8" s="3">
        <v>200.0</v>
      </c>
      <c r="M8" s="3">
        <v>210.0</v>
      </c>
      <c r="N8" s="3">
        <v>200.0</v>
      </c>
      <c r="P8" s="3">
        <v>260.0</v>
      </c>
      <c r="Q8" s="3">
        <v>229.0</v>
      </c>
      <c r="R8" s="1"/>
      <c r="S8" s="3">
        <v>255.0</v>
      </c>
      <c r="T8" s="3">
        <v>229.0</v>
      </c>
      <c r="U8" s="1"/>
      <c r="V8" s="3">
        <v>240.0</v>
      </c>
      <c r="W8" s="3">
        <v>190.0</v>
      </c>
      <c r="X8" s="1"/>
      <c r="Y8" s="3">
        <v>0.0</v>
      </c>
      <c r="Z8" s="3">
        <v>200.0</v>
      </c>
      <c r="AA8" s="1"/>
      <c r="AB8" s="3">
        <v>250.0</v>
      </c>
      <c r="AC8" s="3">
        <v>195.0</v>
      </c>
      <c r="AE8" s="3">
        <v>220.0</v>
      </c>
      <c r="AF8" s="3">
        <v>190.0</v>
      </c>
      <c r="AG8" s="1"/>
      <c r="AH8" s="3">
        <v>0.0</v>
      </c>
      <c r="AI8" s="3">
        <v>195.0</v>
      </c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225.0</v>
      </c>
      <c r="B9" s="3">
        <v>225.0</v>
      </c>
      <c r="D9" s="3">
        <v>260.0</v>
      </c>
      <c r="E9" s="3">
        <v>230.0</v>
      </c>
      <c r="G9" s="3">
        <v>316.0</v>
      </c>
      <c r="H9" s="3">
        <v>202.0</v>
      </c>
      <c r="J9" s="3">
        <v>240.0</v>
      </c>
      <c r="K9" s="3">
        <v>229.0</v>
      </c>
      <c r="M9" s="3">
        <v>240.0</v>
      </c>
      <c r="N9" s="3">
        <v>229.0</v>
      </c>
      <c r="P9" s="3">
        <v>313.0</v>
      </c>
      <c r="Q9" s="3">
        <v>202.0</v>
      </c>
      <c r="R9" s="1"/>
      <c r="S9" s="3">
        <v>260.0</v>
      </c>
      <c r="T9" s="3">
        <v>229.0</v>
      </c>
      <c r="U9" s="1"/>
      <c r="V9" s="3">
        <v>250.0</v>
      </c>
      <c r="W9" s="3">
        <v>202.0</v>
      </c>
      <c r="X9" s="1"/>
      <c r="Y9" s="3">
        <v>150.0</v>
      </c>
      <c r="Z9" s="3">
        <v>200.0</v>
      </c>
      <c r="AA9" s="1"/>
      <c r="AB9" s="3">
        <v>253.0</v>
      </c>
      <c r="AC9" s="3">
        <v>198.0</v>
      </c>
      <c r="AE9" s="3">
        <v>240.0</v>
      </c>
      <c r="AF9" s="3">
        <v>190.0</v>
      </c>
      <c r="AG9" s="1"/>
      <c r="AH9" s="3">
        <v>215.0</v>
      </c>
      <c r="AI9" s="3">
        <v>195.0</v>
      </c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240.0</v>
      </c>
      <c r="B10" s="3">
        <v>230.0</v>
      </c>
      <c r="D10" s="3">
        <v>260.0</v>
      </c>
      <c r="E10" s="3">
        <v>229.0</v>
      </c>
      <c r="G10" s="3">
        <v>313.0</v>
      </c>
      <c r="H10" s="3">
        <v>202.0</v>
      </c>
      <c r="J10" s="3">
        <v>210.0</v>
      </c>
      <c r="K10" s="3">
        <v>200.0</v>
      </c>
      <c r="M10" s="3">
        <v>250.0</v>
      </c>
      <c r="N10" s="3">
        <v>229.0</v>
      </c>
      <c r="P10" s="3">
        <v>260.0</v>
      </c>
      <c r="Q10" s="3">
        <v>202.0</v>
      </c>
      <c r="R10" s="1"/>
      <c r="S10" s="3">
        <v>260.0</v>
      </c>
      <c r="T10" s="3">
        <v>202.0</v>
      </c>
      <c r="U10" s="1"/>
      <c r="V10" s="3">
        <v>250.0</v>
      </c>
      <c r="W10" s="3">
        <v>229.0</v>
      </c>
      <c r="X10" s="1"/>
      <c r="Y10" s="3">
        <v>153.0</v>
      </c>
      <c r="Z10" s="3">
        <v>200.0</v>
      </c>
      <c r="AA10" s="1"/>
      <c r="AB10" s="3">
        <v>324.0</v>
      </c>
      <c r="AC10" s="3">
        <v>198.0</v>
      </c>
      <c r="AE10" s="3">
        <v>240.0</v>
      </c>
      <c r="AF10" s="3">
        <v>140.0</v>
      </c>
      <c r="AG10" s="1"/>
      <c r="AH10" s="3">
        <v>220.0</v>
      </c>
      <c r="AI10" s="3">
        <v>190.0</v>
      </c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240.0</v>
      </c>
      <c r="B11" s="3">
        <v>229.0</v>
      </c>
      <c r="D11" s="3">
        <v>255.0</v>
      </c>
      <c r="E11" s="3">
        <v>229.0</v>
      </c>
      <c r="G11" s="3">
        <v>260.0</v>
      </c>
      <c r="H11" s="3">
        <v>229.0</v>
      </c>
      <c r="J11" s="3">
        <v>153.0</v>
      </c>
      <c r="K11" s="3">
        <v>200.0</v>
      </c>
      <c r="M11" s="3">
        <v>250.0</v>
      </c>
      <c r="N11" s="3">
        <v>202.0</v>
      </c>
      <c r="P11" s="3">
        <v>260.0</v>
      </c>
      <c r="Q11" s="3">
        <v>229.0</v>
      </c>
      <c r="R11" s="1"/>
      <c r="S11" s="3">
        <v>313.0</v>
      </c>
      <c r="T11" s="3">
        <v>202.0</v>
      </c>
      <c r="U11" s="1"/>
      <c r="V11" s="3">
        <v>255.0</v>
      </c>
      <c r="W11" s="3">
        <v>229.0</v>
      </c>
      <c r="X11" s="1"/>
      <c r="Y11" s="3">
        <v>210.0</v>
      </c>
      <c r="Z11" s="3">
        <v>200.0</v>
      </c>
      <c r="AA11" s="1"/>
      <c r="AB11" s="3">
        <v>475.0</v>
      </c>
      <c r="AC11" s="3">
        <v>198.0</v>
      </c>
      <c r="AE11" s="3">
        <v>220.0</v>
      </c>
      <c r="AF11" s="3">
        <v>140.0</v>
      </c>
      <c r="AG11" s="1"/>
      <c r="AH11" s="3">
        <v>220.0</v>
      </c>
      <c r="AI11" s="3">
        <v>140.0</v>
      </c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153.0</v>
      </c>
      <c r="B12" s="3">
        <v>200.0</v>
      </c>
      <c r="D12" s="3">
        <v>250.0</v>
      </c>
      <c r="E12" s="3">
        <v>229.0</v>
      </c>
      <c r="G12" s="3">
        <v>260.0</v>
      </c>
      <c r="H12" s="3">
        <v>230.0</v>
      </c>
      <c r="J12" s="3"/>
      <c r="K12" s="3"/>
      <c r="M12" s="3">
        <v>240.0</v>
      </c>
      <c r="N12" s="3">
        <v>190.0</v>
      </c>
      <c r="P12" s="3"/>
      <c r="Q12" s="3"/>
      <c r="R12" s="1"/>
      <c r="S12" s="3">
        <v>316.0</v>
      </c>
      <c r="T12" s="3">
        <v>202.0</v>
      </c>
      <c r="U12" s="1"/>
      <c r="V12" s="3">
        <v>255.0</v>
      </c>
      <c r="W12" s="3">
        <v>200.0</v>
      </c>
      <c r="X12" s="1"/>
      <c r="Y12" s="3">
        <v>215.0</v>
      </c>
      <c r="Z12" s="3">
        <v>195.0</v>
      </c>
      <c r="AA12" s="1"/>
      <c r="AB12" s="3">
        <v>475.0</v>
      </c>
      <c r="AC12" s="3">
        <v>195.0</v>
      </c>
      <c r="AE12" s="3">
        <v>220.0</v>
      </c>
      <c r="AF12" s="3">
        <v>190.0</v>
      </c>
      <c r="AG12" s="1"/>
      <c r="AH12" s="3">
        <v>240.0</v>
      </c>
      <c r="AI12" s="3">
        <v>140.0</v>
      </c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150.0</v>
      </c>
      <c r="B13" s="3">
        <v>200.0</v>
      </c>
      <c r="D13" s="3">
        <v>240.0</v>
      </c>
      <c r="E13" s="3">
        <v>229.0</v>
      </c>
      <c r="G13" s="3"/>
      <c r="H13" s="3"/>
      <c r="J13" s="3"/>
      <c r="K13" s="3"/>
      <c r="M13" s="3">
        <v>220.0</v>
      </c>
      <c r="N13" s="3">
        <v>190.0</v>
      </c>
      <c r="P13" s="3"/>
      <c r="Q13" s="3"/>
      <c r="R13" s="1"/>
      <c r="S13" s="3">
        <v>320.0</v>
      </c>
      <c r="T13" s="3">
        <v>200.0</v>
      </c>
      <c r="U13" s="1"/>
      <c r="V13" s="3">
        <v>320.0</v>
      </c>
      <c r="W13" s="3">
        <v>200.0</v>
      </c>
      <c r="X13" s="1"/>
      <c r="Y13" s="3">
        <v>0.0</v>
      </c>
      <c r="Z13" s="3">
        <v>195.0</v>
      </c>
      <c r="AA13" s="1"/>
      <c r="AB13" s="3">
        <v>250.0</v>
      </c>
      <c r="AC13" s="3">
        <v>195.0</v>
      </c>
      <c r="AE13" s="3"/>
      <c r="AF13" s="3"/>
      <c r="AG13" s="1"/>
      <c r="AH13" s="3">
        <v>240.0</v>
      </c>
      <c r="AI13" s="3">
        <v>190.0</v>
      </c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>
        <v>240.0</v>
      </c>
      <c r="E14" s="3">
        <v>230.0</v>
      </c>
      <c r="G14" s="3"/>
      <c r="H14" s="3"/>
      <c r="J14" s="3"/>
      <c r="K14" s="3"/>
      <c r="M14" s="3">
        <v>215.0</v>
      </c>
      <c r="N14" s="3">
        <v>195.0</v>
      </c>
      <c r="P14" s="3"/>
      <c r="Q14" s="3"/>
      <c r="R14" s="1"/>
      <c r="S14" s="3">
        <v>255.0</v>
      </c>
      <c r="T14" s="3">
        <v>200.0</v>
      </c>
      <c r="U14" s="1"/>
      <c r="V14" s="3">
        <v>324.0</v>
      </c>
      <c r="W14" s="3">
        <v>198.0</v>
      </c>
      <c r="X14" s="1"/>
      <c r="Y14" s="3">
        <v>0.0</v>
      </c>
      <c r="Z14" s="3">
        <v>200.0</v>
      </c>
      <c r="AA14" s="1"/>
      <c r="AB14" s="3"/>
      <c r="AC14" s="3"/>
      <c r="AE14" s="3"/>
      <c r="AF14" s="3"/>
      <c r="AG14" s="1"/>
      <c r="AH14" s="3">
        <v>245.0</v>
      </c>
      <c r="AI14" s="3">
        <v>190.0</v>
      </c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>
        <v>210.0</v>
      </c>
      <c r="N15" s="3">
        <v>200.0</v>
      </c>
      <c r="P15" s="3"/>
      <c r="Q15" s="3"/>
      <c r="R15" s="1"/>
      <c r="S15" s="3">
        <v>255.0</v>
      </c>
      <c r="T15" s="3">
        <v>229.0</v>
      </c>
      <c r="U15" s="1"/>
      <c r="V15" s="3">
        <v>253.0</v>
      </c>
      <c r="W15" s="3">
        <v>198.0</v>
      </c>
      <c r="X15" s="1"/>
      <c r="Y15" s="3"/>
      <c r="Z15" s="3"/>
      <c r="AA15" s="1"/>
      <c r="AB15" s="3"/>
      <c r="AC15" s="3"/>
      <c r="AE15" s="3"/>
      <c r="AF15" s="3"/>
      <c r="AG15" s="1"/>
      <c r="AH15" s="3">
        <v>250.0</v>
      </c>
      <c r="AI15" s="3">
        <v>195.0</v>
      </c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>
        <v>250.0</v>
      </c>
      <c r="W16" s="3">
        <v>195.0</v>
      </c>
      <c r="X16" s="1"/>
      <c r="Y16" s="3"/>
      <c r="Z16" s="3"/>
      <c r="AA16" s="1"/>
      <c r="AB16" s="3"/>
      <c r="AC16" s="3"/>
      <c r="AE16" s="3"/>
      <c r="AF16" s="3"/>
      <c r="AG16" s="1"/>
      <c r="AH16" s="3">
        <v>475.0</v>
      </c>
      <c r="AI16" s="3">
        <v>195.0</v>
      </c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>
        <v>245.0</v>
      </c>
      <c r="W17" s="3">
        <v>190.0</v>
      </c>
      <c r="X17" s="1"/>
      <c r="Y17" s="3"/>
      <c r="Z17" s="3"/>
      <c r="AA17" s="1"/>
      <c r="AB17" s="3"/>
      <c r="AC17" s="3"/>
      <c r="AE17" s="3"/>
      <c r="AF17" s="3"/>
      <c r="AG17" s="1"/>
      <c r="AH17" s="3">
        <v>475.0</v>
      </c>
      <c r="AI17" s="3">
        <v>0.0</v>
      </c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>
        <v>240.0</v>
      </c>
      <c r="W18" s="3">
        <v>190.0</v>
      </c>
      <c r="X18" s="1"/>
      <c r="Y18" s="3"/>
      <c r="Z18" s="3"/>
      <c r="AA18" s="1"/>
      <c r="AB18" s="3"/>
      <c r="AC18" s="3"/>
      <c r="AE18" s="3"/>
      <c r="AF18" s="3"/>
      <c r="AG18" s="1"/>
      <c r="AH18" s="3">
        <v>0.0</v>
      </c>
      <c r="AI18" s="3">
        <v>0.0</v>
      </c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>
        <v>0.0</v>
      </c>
      <c r="AI19" s="3">
        <v>195.0</v>
      </c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5" t="s">
        <v>84</v>
      </c>
      <c r="B2" s="55"/>
      <c r="D2" s="56" t="s">
        <v>82</v>
      </c>
      <c r="E2" s="56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7" t="s">
        <v>127</v>
      </c>
      <c r="C2" s="57"/>
      <c r="D2" s="57"/>
      <c r="F2" s="57" t="s">
        <v>128</v>
      </c>
      <c r="G2" s="57"/>
      <c r="H2" s="57"/>
      <c r="J2" s="57" t="s">
        <v>129</v>
      </c>
      <c r="K2" s="57"/>
      <c r="L2" s="57"/>
      <c r="N2" s="57" t="s">
        <v>130</v>
      </c>
      <c r="O2" s="57"/>
      <c r="P2" s="57"/>
      <c r="R2" s="57" t="s">
        <v>131</v>
      </c>
      <c r="S2" s="57"/>
      <c r="T2" s="57"/>
      <c r="V2" s="57" t="s">
        <v>132</v>
      </c>
      <c r="W2" s="57"/>
      <c r="X2" s="57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8" t="s">
        <v>145</v>
      </c>
      <c r="C2" s="58"/>
      <c r="D2" s="58"/>
      <c r="F2" s="58" t="s">
        <v>146</v>
      </c>
      <c r="G2" s="58"/>
      <c r="H2" s="58"/>
      <c r="J2" s="58" t="s">
        <v>147</v>
      </c>
      <c r="K2" s="58"/>
      <c r="L2" s="58"/>
      <c r="N2" s="58" t="s">
        <v>148</v>
      </c>
      <c r="O2" s="58"/>
      <c r="P2" s="58"/>
      <c r="R2" s="58" t="s">
        <v>149</v>
      </c>
      <c r="S2" s="58"/>
      <c r="T2" s="58"/>
      <c r="V2" s="58" t="s">
        <v>150</v>
      </c>
      <c r="W2" s="58"/>
      <c r="X2" s="5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G27" sqref="G27"/>
    </sheetView>
  </sheetViews>
  <sheetFormatPr baseColWidth="10" defaultRowHeight="16" x14ac:dyDescent="0.2"/>
  <cols>
    <col min="1" max="1" width="4.83203125" style="1" customWidth="1"/>
    <col min="2" max="11" width="10.83203125" style="1"/>
    <col min="12" max="12" width="7.6640625" customWidth="1"/>
  </cols>
  <sheetData>
    <row r="2" spans="1:14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4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4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M14" s="31"/>
      <c r="N14" s="9" t="s">
        <v>110</v>
      </c>
    </row>
    <row r="15" spans="1:14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M15" s="34"/>
      <c r="N15" s="9" t="s">
        <v>109</v>
      </c>
    </row>
    <row r="16" spans="1:14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H24" s="9"/>
      <c r="I24" s="9"/>
    </row>
    <row r="25" spans="1:11" x14ac:dyDescent="0.2">
      <c r="H25" s="9"/>
      <c r="I25" s="9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2BD7-5686-4248-AC02-D49DB39A8FC0}">
  <dimension ref="A2:Z15"/>
  <sheetViews>
    <sheetView showGridLines="0" tabSelected="1" zoomScale="140" zoomScaleNormal="140" workbookViewId="0">
      <selection activeCell="R23" sqref="R2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16" width="10.83203125" style="1"/>
    <col min="17" max="17" width="3.83203125" customWidth="1"/>
  </cols>
  <sheetData>
    <row r="2" spans="1:26" x14ac:dyDescent="0.2">
      <c r="A2" s="12" t="s">
        <v>25</v>
      </c>
      <c r="B2" s="12" t="s">
        <v>175</v>
      </c>
      <c r="C2" s="12" t="s">
        <v>103</v>
      </c>
      <c r="D2" s="12" t="s">
        <v>104</v>
      </c>
      <c r="E2" s="12" t="s">
        <v>105</v>
      </c>
      <c r="F2" s="12" t="s">
        <v>106</v>
      </c>
      <c r="G2" s="45" t="s">
        <v>168</v>
      </c>
      <c r="H2" s="45" t="s">
        <v>176</v>
      </c>
      <c r="I2" s="32" t="s">
        <v>169</v>
      </c>
      <c r="J2" s="32" t="s">
        <v>170</v>
      </c>
      <c r="K2" s="33" t="s">
        <v>101</v>
      </c>
      <c r="L2" s="33" t="s">
        <v>171</v>
      </c>
      <c r="M2" s="33" t="s">
        <v>107</v>
      </c>
      <c r="N2" s="46" t="s">
        <v>173</v>
      </c>
      <c r="O2" s="46" t="s">
        <v>174</v>
      </c>
      <c r="P2" s="33" t="s">
        <v>180</v>
      </c>
      <c r="Z2" t="s">
        <v>40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Z3" t="s">
        <v>76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">
      <c r="R13" s="47"/>
      <c r="S13" t="s">
        <v>177</v>
      </c>
    </row>
    <row r="14" spans="1:26" x14ac:dyDescent="0.2">
      <c r="I14" s="9"/>
      <c r="J14" s="9"/>
      <c r="R14" s="31"/>
      <c r="S14" s="9" t="s">
        <v>178</v>
      </c>
    </row>
    <row r="15" spans="1:26" x14ac:dyDescent="0.2">
      <c r="I15" s="9"/>
      <c r="J15" s="9"/>
      <c r="R15" s="34"/>
      <c r="S15" s="9" t="s">
        <v>179</v>
      </c>
    </row>
  </sheetData>
  <dataValidations count="1">
    <dataValidation type="list" allowBlank="1" showInputMessage="1" showErrorMessage="1" sqref="P3:P12" xr:uid="{BD18340F-2DC3-724E-BE00-EA96ECBB898C}">
      <formula1>$Z$2:$Z$3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9" t="s">
        <v>138</v>
      </c>
      <c r="C2" s="59"/>
      <c r="E2" s="55" t="s">
        <v>133</v>
      </c>
      <c r="F2" s="55"/>
      <c r="H2" s="55" t="s">
        <v>134</v>
      </c>
      <c r="I2" s="55"/>
      <c r="K2" s="55" t="s">
        <v>135</v>
      </c>
      <c r="L2" s="55"/>
      <c r="N2" s="55" t="s">
        <v>136</v>
      </c>
      <c r="O2" s="55"/>
      <c r="Q2" s="55" t="s">
        <v>137</v>
      </c>
      <c r="R2" s="55"/>
    </row>
    <row r="3" spans="2:18" x14ac:dyDescent="0.2">
      <c r="B3" s="59"/>
      <c r="C3" s="59"/>
      <c r="E3" s="37" t="s">
        <v>95</v>
      </c>
      <c r="F3" s="38">
        <v>225.0</v>
      </c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260.0</v>
      </c>
      <c r="C5" s="3">
        <v>230.0</v>
      </c>
      <c r="E5" s="3">
        <v>0.0</v>
      </c>
      <c r="F5" s="3">
        <v>200.0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316.0</v>
      </c>
      <c r="C6" s="3">
        <v>202.0</v>
      </c>
      <c r="E6" s="3">
        <v>150.0</v>
      </c>
      <c r="F6" s="3">
        <v>200.0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320.0</v>
      </c>
      <c r="C7" s="3">
        <v>200.0</v>
      </c>
      <c r="E7" s="3">
        <v>225.0</v>
      </c>
      <c r="F7" s="3">
        <v>225.0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>
        <v>324.0</v>
      </c>
      <c r="C8" s="3">
        <v>198.0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>
        <v>475.0</v>
      </c>
      <c r="C9" s="3">
        <v>198.0</v>
      </c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0" t="s">
        <v>140</v>
      </c>
      <c r="C2" s="60"/>
      <c r="E2" s="56" t="s">
        <v>139</v>
      </c>
      <c r="F2" s="56"/>
      <c r="H2" s="56" t="s">
        <v>141</v>
      </c>
      <c r="I2" s="56"/>
      <c r="K2" s="56" t="s">
        <v>142</v>
      </c>
      <c r="L2" s="56"/>
      <c r="N2" s="56" t="s">
        <v>143</v>
      </c>
      <c r="O2" s="56"/>
      <c r="Q2" s="56" t="s">
        <v>144</v>
      </c>
      <c r="R2" s="56"/>
    </row>
    <row r="3" spans="2:18" x14ac:dyDescent="0.2">
      <c r="B3" s="60"/>
      <c r="C3" s="60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2026-03-23T18:32:45Z</dcterms:modified>
</cp:coreProperties>
</file>