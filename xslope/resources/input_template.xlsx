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48736C4-E2C8-EB41-827A-888C500BCAB7}" xr6:coauthVersionLast="47" xr6:coauthVersionMax="47" xr10:uidLastSave="{00000000-0000-0000-0000-000000000000}"/>
  <bookViews>
    <workbookView xWindow="0" yWindow="600" windowWidth="3840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" i="12" l="1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I8" i="12"/>
  <c r="H8" i="12"/>
  <c r="I7" i="12"/>
  <c r="H7" i="12"/>
  <c r="I6" i="12"/>
  <c r="H6" i="12"/>
  <c r="I5" i="12"/>
  <c r="H5" i="12"/>
  <c r="I4" i="12"/>
  <c r="H4" i="12"/>
  <c r="I3" i="12"/>
  <c r="H3" i="12"/>
  <c r="AQ6" i="15"/>
  <c r="AN6" i="15"/>
  <c r="AK6" i="15"/>
  <c r="AH6" i="15"/>
  <c r="AE6" i="15"/>
  <c r="AB6" i="15"/>
  <c r="Y6" i="15"/>
  <c r="V6" i="15"/>
  <c r="S6" i="15"/>
  <c r="P6" i="15"/>
  <c r="M6" i="15"/>
  <c r="J6" i="15"/>
  <c r="G6" i="15"/>
  <c r="D6" i="15"/>
  <c r="A6" i="15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<sst xmlns="http://schemas.openxmlformats.org/spreadsheetml/2006/main" count="449" uniqueCount="238">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</sst>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5" fillId="17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</cellXfs>
  <cellStyles count="1">
    <cellStyle name="Normal" xfId="0" builtinId="0"/>
  </cellStyles>
  <dxfs count="16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D19" sqref="D19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16</v>
      </c>
    </row>
    <row r="7" spans="1:7" x14ac:dyDescent="0.2">
      <c r="B7" s="44" t="s">
        <v>47</v>
      </c>
      <c r="C7" s="44"/>
      <c r="D7" s="44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L5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8" width="8.5" customWidth="1"/>
  </cols>
  <sheetData>
    <row r="2" spans="1:38" x14ac:dyDescent="0.2">
      <c r="C2" s="6" t="s">
        <v>67</v>
      </c>
      <c r="E2"/>
      <c r="F2"/>
      <c r="G2"/>
      <c r="L2" s="6" t="s">
        <v>237</v>
      </c>
      <c r="O2" s="6" t="s">
        <v>170</v>
      </c>
      <c r="AB2" s="6"/>
      <c r="AH2" s="6" t="s">
        <v>169</v>
      </c>
    </row>
    <row r="3" spans="1:38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B3" s="14"/>
      <c r="AH3" s="1" t="s">
        <v>166</v>
      </c>
      <c r="AI3" t="s">
        <v>168</v>
      </c>
    </row>
    <row r="4" spans="1:38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B4" s="14"/>
      <c r="AH4" s="1" t="s">
        <v>167</v>
      </c>
      <c r="AI4" t="s">
        <v>204</v>
      </c>
    </row>
    <row r="5" spans="1:38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B5" s="14"/>
      <c r="AH5" s="1" t="s">
        <v>202</v>
      </c>
      <c r="AI5" s="9" t="s">
        <v>203</v>
      </c>
    </row>
    <row r="6" spans="1:38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C6" s="1"/>
      <c r="AD6" s="1"/>
    </row>
    <row r="7" spans="1:38" x14ac:dyDescent="0.2">
      <c r="C7" s="1" t="s">
        <v>233</v>
      </c>
      <c r="D7" s="9" t="s">
        <v>234</v>
      </c>
      <c r="AC7" s="1"/>
      <c r="AD7" s="1"/>
    </row>
    <row r="9" spans="1:38" x14ac:dyDescent="0.2">
      <c r="C9" s="45" t="s">
        <v>236</v>
      </c>
      <c r="D9" s="45"/>
      <c r="E9" s="45"/>
      <c r="F9" s="45"/>
      <c r="G9" s="45"/>
      <c r="H9" s="45"/>
      <c r="I9" s="45"/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 t="s">
        <v>57</v>
      </c>
      <c r="Z9" s="45"/>
      <c r="AA9" s="45"/>
      <c r="AB9" s="45"/>
      <c r="AC9" s="45"/>
      <c r="AD9" s="45"/>
      <c r="AE9" s="45" t="s">
        <v>91</v>
      </c>
      <c r="AF9" s="45"/>
      <c r="AG9" s="45"/>
      <c r="AH9" s="45"/>
      <c r="AI9" s="45"/>
      <c r="AJ9" s="45"/>
      <c r="AK9" s="45"/>
      <c r="AL9" s="45"/>
    </row>
    <row r="10" spans="1:38" ht="18" x14ac:dyDescent="0.25">
      <c r="A10" s="20" t="s">
        <v>19</v>
      </c>
      <c r="B10" s="20" t="s">
        <v>77</v>
      </c>
      <c r="C10" s="58" t="s">
        <v>52</v>
      </c>
      <c r="D10" s="62" t="s">
        <v>189</v>
      </c>
      <c r="E10" s="57" t="s">
        <v>65</v>
      </c>
      <c r="F10" s="57" t="s">
        <v>53</v>
      </c>
      <c r="G10" s="58" t="s">
        <v>51</v>
      </c>
      <c r="H10" s="57" t="s">
        <v>72</v>
      </c>
      <c r="I10" s="57" t="s">
        <v>71</v>
      </c>
      <c r="J10" s="64" t="s">
        <v>79</v>
      </c>
      <c r="K10" s="64" t="s">
        <v>135</v>
      </c>
      <c r="L10" s="63" t="s">
        <v>235</v>
      </c>
      <c r="M10" s="21" t="s">
        <v>97</v>
      </c>
      <c r="N10" s="43" t="s">
        <v>211</v>
      </c>
      <c r="O10" s="57" t="s">
        <v>84</v>
      </c>
      <c r="P10" s="57" t="s">
        <v>172</v>
      </c>
      <c r="Q10" s="57" t="s">
        <v>173</v>
      </c>
      <c r="R10" s="57" t="s">
        <v>174</v>
      </c>
      <c r="S10" s="57" t="s">
        <v>175</v>
      </c>
      <c r="T10" s="57" t="s">
        <v>176</v>
      </c>
      <c r="U10" s="57" t="s">
        <v>206</v>
      </c>
      <c r="V10" s="57" t="s">
        <v>208</v>
      </c>
      <c r="W10" s="57" t="s">
        <v>209</v>
      </c>
      <c r="X10" s="57" t="s">
        <v>210</v>
      </c>
      <c r="Y10" s="59" t="s">
        <v>54</v>
      </c>
      <c r="Z10" s="59" t="s">
        <v>55</v>
      </c>
      <c r="AA10" s="60" t="s">
        <v>56</v>
      </c>
      <c r="AB10" s="59" t="s">
        <v>73</v>
      </c>
      <c r="AC10" s="59" t="s">
        <v>80</v>
      </c>
      <c r="AD10" s="60" t="s">
        <v>136</v>
      </c>
      <c r="AE10" s="23" t="s">
        <v>88</v>
      </c>
      <c r="AF10" s="23" t="s">
        <v>89</v>
      </c>
      <c r="AG10" s="23" t="s">
        <v>90</v>
      </c>
      <c r="AH10" s="23" t="s">
        <v>165</v>
      </c>
      <c r="AI10" s="23" t="s">
        <v>94</v>
      </c>
      <c r="AJ10" s="23" t="s">
        <v>95</v>
      </c>
      <c r="AK10" s="23" t="s">
        <v>205</v>
      </c>
      <c r="AL10" s="23" t="s">
        <v>98</v>
      </c>
    </row>
    <row r="11" spans="1:38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</row>
    <row r="12" spans="1:38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18"/>
      <c r="AL12" s="19"/>
    </row>
    <row r="13" spans="1:38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18"/>
      <c r="AL13" s="19"/>
    </row>
    <row r="14" spans="1:38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</row>
    <row r="15" spans="1:38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</row>
    <row r="16" spans="1:38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</row>
    <row r="17" spans="1:38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</row>
    <row r="18" spans="1:38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</row>
    <row r="19" spans="1:38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</row>
    <row r="20" spans="1:38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</row>
    <row r="21" spans="1:38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</row>
    <row r="22" spans="1:38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</row>
    <row r="23" spans="1:38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</row>
    <row r="24" spans="1:38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</row>
    <row r="25" spans="1:38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</row>
    <row r="26" spans="1:38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</row>
    <row r="27" spans="1:38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spans="1:38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spans="1:38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</row>
    <row r="30" spans="1:38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spans="1:38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spans="1:38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</row>
    <row r="33" spans="11:30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spans="11:30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spans="11:30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spans="11:30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spans="11:30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spans="11:30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spans="11:30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spans="11:30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spans="11:30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spans="11:30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spans="11:30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spans="11:30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spans="11:30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spans="11:30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1:30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1:30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1:30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1:30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1:30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1:30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</sheetData>
  <mergeCells count="3">
    <mergeCell ref="Y9:AD9"/>
    <mergeCell ref="AE9:AL9"/>
    <mergeCell ref="C9:X9"/>
  </mergeCells>
  <conditionalFormatting sqref="F11:K52 Z11:AD52">
    <cfRule type="expression" dxfId="5" priority="1">
      <formula>$E11="hb"</formula>
    </cfRule>
    <cfRule type="expression" dxfId="5" priority="2">
      <formula>$E11="pow"</formula>
    </cfRule>
  </conditionalFormatting>
  <conditionalFormatting sqref="G11:G52">
    <cfRule type="expression" dxfId="5" priority="3">
      <formula>$E11="cp"</formula>
    </cfRule>
  </conditionalFormatting>
  <conditionalFormatting sqref="H11:I52">
    <cfRule type="expression" dxfId="5" priority="4">
      <formula>$E11="mc"</formula>
    </cfRule>
  </conditionalFormatting>
  <conditionalFormatting sqref="J11:K52">
    <cfRule type="expression" dxfId="5" priority="5">
      <formula>$E11="cp"</formula>
    </cfRule>
  </conditionalFormatting>
  <conditionalFormatting sqref="Q11:T52">
    <cfRule type="expression" dxfId="5" priority="6">
      <formula>AND($E11&lt;&gt;"",$E11&lt;&gt;"pow")</formula>
    </cfRule>
  </conditionalFormatting>
  <conditionalFormatting sqref="U11:X52">
    <cfRule type="expression" dxfId="5" priority="7">
      <formula>AND($E11&lt;&gt;"",$E11&lt;&gt;"hb")</formula>
    </cfRule>
  </conditionalFormatting>
  <conditionalFormatting sqref="P11:P52">
    <cfRule type="expression" dxfId="5" priority="8">
      <formula>AND($O11&lt;&gt;"",$O11&lt;&gt;"ru")</formula>
    </cfRule>
  </conditionalFormatting>
  <conditionalFormatting sqref="AA11:AA52">
    <cfRule type="expression" dxfId="5" priority="9">
      <formula>$E11="cp"</formula>
    </cfRule>
  </conditionalFormatting>
  <conditionalFormatting sqref="AB11:AB52">
    <cfRule type="expression" dxfId="5" priority="10">
      <formula>$E11="mc"</formula>
    </cfRule>
  </conditionalFormatting>
  <conditionalFormatting sqref="AC11:AD52">
    <cfRule type="expression" dxfId="5" priority="11">
      <formula>$E11="cp"</formula>
    </cfRule>
  </conditionalFormatting>
  <conditionalFormatting sqref="AI11:AJ52">
    <cfRule type="expression" dxfId="5" priority="12">
      <formula>OR($AH11="vg",$AH11="gard")</formula>
    </cfRule>
  </conditionalFormatting>
  <conditionalFormatting sqref="AK11:AL52">
    <cfRule type="expression" dxfId="5" priority="13">
      <formula>$AH11="lf"</formula>
    </cfRule>
  </conditionalFormatting>
  <conditionalFormatting sqref="F11:L52">
    <cfRule type="expression" dxfId="5" priority="14">
      <formula>$E11="elastic"</formula>
    </cfRule>
  </conditionalFormatting>
  <conditionalFormatting sqref="O11:P52">
    <cfRule type="expression" dxfId="5" priority="15">
      <formula>$E11="elastic"</formula>
    </cfRule>
  </conditionalFormatting>
  <conditionalFormatting sqref="Z11:AD52">
    <cfRule type="expression" dxfId="5" priority="16">
      <formula>$E11="elastic"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H11:AH102" xr:uid="{E00A94A9-D864-5843-8FBD-E84775B1C100}">
      <formula1>$AH$3:$AH$5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48" t="s">
        <v>2</v>
      </c>
      <c r="B4" s="48"/>
      <c r="D4" s="48" t="s">
        <v>5</v>
      </c>
      <c r="E4" s="48"/>
      <c r="G4" s="48" t="s">
        <v>6</v>
      </c>
      <c r="H4" s="48"/>
      <c r="J4" s="48" t="s">
        <v>7</v>
      </c>
      <c r="K4" s="48"/>
      <c r="M4" s="48" t="s">
        <v>8</v>
      </c>
      <c r="N4" s="48"/>
      <c r="P4" s="48" t="s">
        <v>9</v>
      </c>
      <c r="Q4" s="48"/>
      <c r="R4" s="1"/>
      <c r="S4" s="48" t="s">
        <v>10</v>
      </c>
      <c r="T4" s="48"/>
      <c r="U4" s="1"/>
      <c r="V4" s="48" t="s">
        <v>11</v>
      </c>
      <c r="W4" s="48"/>
      <c r="X4" s="1"/>
      <c r="Y4" s="48" t="s">
        <v>12</v>
      </c>
      <c r="Z4" s="48"/>
      <c r="AA4" s="1"/>
      <c r="AB4" s="48" t="s">
        <v>13</v>
      </c>
      <c r="AC4" s="48"/>
      <c r="AE4" s="48" t="s">
        <v>108</v>
      </c>
      <c r="AF4" s="48"/>
      <c r="AG4" s="1"/>
      <c r="AH4" s="48" t="s">
        <v>109</v>
      </c>
      <c r="AI4" s="48"/>
      <c r="AJ4" s="1"/>
      <c r="AK4" s="48" t="s">
        <v>110</v>
      </c>
      <c r="AL4" s="48"/>
      <c r="AM4" s="1"/>
      <c r="AN4" s="48" t="s">
        <v>111</v>
      </c>
      <c r="AO4" s="48"/>
      <c r="AP4" s="1"/>
      <c r="AQ4" s="48" t="s">
        <v>112</v>
      </c>
      <c r="AR4" s="48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46" t="str">
        <f>_xlfn.XLOOKUP(B5,mat!$A:$A, mat!$B:$B,"") &amp; ""</f>
        <v/>
      </c>
      <c r="B6" s="47"/>
      <c r="D6" s="46" t="str">
        <f>_xlfn.XLOOKUP(E5,mat!$A:$A, mat!$B:$B,"") &amp; ""</f>
        <v/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48" t="s">
        <v>137</v>
      </c>
      <c r="B4" s="48"/>
      <c r="D4" s="48" t="s">
        <v>138</v>
      </c>
      <c r="E4" s="48"/>
      <c r="G4" s="48" t="s">
        <v>139</v>
      </c>
      <c r="H4" s="48"/>
      <c r="J4" s="48" t="s">
        <v>140</v>
      </c>
      <c r="K4" s="48"/>
      <c r="M4" s="48" t="s">
        <v>141</v>
      </c>
      <c r="N4" s="48"/>
      <c r="P4" s="48" t="s">
        <v>142</v>
      </c>
      <c r="Q4" s="48"/>
      <c r="R4" s="1"/>
      <c r="S4" s="48" t="s">
        <v>143</v>
      </c>
      <c r="T4" s="48"/>
      <c r="U4" s="1"/>
      <c r="V4" s="48" t="s">
        <v>144</v>
      </c>
      <c r="W4" s="48"/>
      <c r="X4" s="1"/>
      <c r="Y4" s="48" t="s">
        <v>145</v>
      </c>
      <c r="Z4" s="48"/>
      <c r="AA4" s="1"/>
      <c r="AB4" s="48" t="s">
        <v>146</v>
      </c>
      <c r="AC4" s="48"/>
      <c r="AE4" s="48" t="s">
        <v>147</v>
      </c>
      <c r="AF4" s="48"/>
      <c r="AG4" s="1"/>
      <c r="AH4" s="48" t="s">
        <v>148</v>
      </c>
      <c r="AI4" s="48"/>
      <c r="AJ4" s="1"/>
      <c r="AK4" s="48" t="s">
        <v>149</v>
      </c>
      <c r="AL4" s="48"/>
      <c r="AM4" s="1"/>
      <c r="AN4" s="48" t="s">
        <v>150</v>
      </c>
      <c r="AO4" s="48"/>
      <c r="AP4" s="1"/>
      <c r="AQ4" s="48" t="s">
        <v>151</v>
      </c>
      <c r="AR4" s="48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49" t="str">
        <f>_xlfn.XLOOKUP(B5,mat!$A:$A, mat!$B:$B,"") &amp; ""</f>
        <v/>
      </c>
      <c r="B6" s="50"/>
      <c r="D6" s="49" t="str">
        <f>_xlfn.XLOOKUP(E5,mat!$A:$A, mat!$B:$B,"") &amp; ""</f>
        <v/>
      </c>
      <c r="E6" s="50"/>
      <c r="G6" s="49" t="str">
        <f>_xlfn.XLOOKUP(H5,mat!$A:$A, mat!$B:$B,"") &amp; ""</f>
        <v/>
      </c>
      <c r="H6" s="50"/>
      <c r="J6" s="49" t="str">
        <f>_xlfn.XLOOKUP(K5,mat!$A:$A, mat!$B:$B,"") &amp; ""</f>
        <v/>
      </c>
      <c r="K6" s="50"/>
      <c r="M6" s="49" t="str">
        <f>_xlfn.XLOOKUP(N5,mat!$A:$A, mat!$B:$B,"") &amp; ""</f>
        <v/>
      </c>
      <c r="N6" s="50"/>
      <c r="P6" s="49" t="str">
        <f>_xlfn.XLOOKUP(Q5,mat!$A:$A, mat!$B:$B,"") &amp; ""</f>
        <v/>
      </c>
      <c r="Q6" s="50"/>
      <c r="R6" s="1"/>
      <c r="S6" s="49" t="str">
        <f>_xlfn.XLOOKUP(T5,mat!$A:$A, mat!$B:$B,"") &amp; ""</f>
        <v/>
      </c>
      <c r="T6" s="50"/>
      <c r="U6" s="1"/>
      <c r="V6" s="49" t="str">
        <f>_xlfn.XLOOKUP(W5,mat!$A:$A, mat!$B:$B,"") &amp; ""</f>
        <v/>
      </c>
      <c r="W6" s="50"/>
      <c r="X6" s="1"/>
      <c r="Y6" s="49" t="str">
        <f>_xlfn.XLOOKUP(Z5,mat!$A:$A, mat!$B:$B,"") &amp; ""</f>
        <v/>
      </c>
      <c r="Z6" s="50"/>
      <c r="AA6" s="1"/>
      <c r="AB6" s="49" t="str">
        <f>_xlfn.XLOOKUP(AC5,mat!$A:$A, mat!$B:$B,"") &amp; ""</f>
        <v/>
      </c>
      <c r="AC6" s="50"/>
      <c r="AE6" s="49" t="str">
        <f>_xlfn.XLOOKUP(AF5,mat!$A:$A, mat!$B:$B,"") &amp; ""</f>
        <v/>
      </c>
      <c r="AF6" s="50"/>
      <c r="AG6" s="1"/>
      <c r="AH6" s="49" t="str">
        <f>_xlfn.XLOOKUP(AI5,mat!$A:$A, mat!$B:$B,"") &amp; ""</f>
        <v/>
      </c>
      <c r="AI6" s="50"/>
      <c r="AJ6" s="1"/>
      <c r="AK6" s="49" t="str">
        <f>_xlfn.XLOOKUP(AL5,mat!$A:$A, mat!$B:$B,"") &amp; ""</f>
        <v/>
      </c>
      <c r="AL6" s="50"/>
      <c r="AM6" s="1"/>
      <c r="AN6" s="49" t="str">
        <f>_xlfn.XLOOKUP(AO5,mat!$A:$A, mat!$B:$B,"") &amp; ""</f>
        <v/>
      </c>
      <c r="AO6" s="50"/>
      <c r="AP6" s="1"/>
      <c r="AQ6" s="49" t="str">
        <f>_xlfn.XLOOKUP(AR5,mat!$A:$A, mat!$B:$B,"") &amp; ""</f>
        <v/>
      </c>
      <c r="AR6" s="50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1" t="s">
        <v>83</v>
      </c>
      <c r="B2" s="51"/>
      <c r="D2" s="52" t="s">
        <v>81</v>
      </c>
      <c r="E2" s="52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3" t="s">
        <v>121</v>
      </c>
      <c r="C2" s="53"/>
      <c r="D2" s="53"/>
      <c r="F2" s="53" t="s">
        <v>122</v>
      </c>
      <c r="G2" s="53"/>
      <c r="H2" s="53"/>
      <c r="J2" s="53" t="s">
        <v>123</v>
      </c>
      <c r="K2" s="53"/>
      <c r="L2" s="53"/>
      <c r="N2" s="53" t="s">
        <v>124</v>
      </c>
      <c r="O2" s="53"/>
      <c r="P2" s="53"/>
      <c r="R2" s="53" t="s">
        <v>125</v>
      </c>
      <c r="S2" s="53"/>
      <c r="T2" s="53"/>
      <c r="V2" s="53" t="s">
        <v>126</v>
      </c>
      <c r="W2" s="53"/>
      <c r="X2" s="53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4" t="s">
        <v>129</v>
      </c>
      <c r="C2" s="54"/>
      <c r="D2" s="54"/>
      <c r="F2" s="54" t="s">
        <v>130</v>
      </c>
      <c r="G2" s="54"/>
      <c r="H2" s="54"/>
      <c r="J2" s="54" t="s">
        <v>131</v>
      </c>
      <c r="K2" s="54"/>
      <c r="L2" s="54"/>
      <c r="N2" s="54" t="s">
        <v>132</v>
      </c>
      <c r="O2" s="54"/>
      <c r="P2" s="54"/>
      <c r="R2" s="54" t="s">
        <v>133</v>
      </c>
      <c r="S2" s="54"/>
      <c r="T2" s="54"/>
      <c r="V2" s="54" t="s">
        <v>134</v>
      </c>
      <c r="W2" s="54"/>
      <c r="X2" s="54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55" t="s">
        <v>127</v>
      </c>
      <c r="C2" s="55"/>
      <c r="E2" s="51" t="s">
        <v>215</v>
      </c>
      <c r="F2" s="51"/>
      <c r="H2" s="51" t="s">
        <v>217</v>
      </c>
      <c r="I2" s="51"/>
      <c r="K2" s="51" t="s">
        <v>218</v>
      </c>
      <c r="L2" s="51"/>
      <c r="N2" s="51" t="s">
        <v>219</v>
      </c>
      <c r="O2" s="51"/>
      <c r="Q2" s="51" t="s">
        <v>220</v>
      </c>
      <c r="R2" s="51"/>
    </row>
    <row r="3" spans="2:21" x14ac:dyDescent="0.2">
      <c r="B3" s="55"/>
      <c r="C3" s="55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56" t="s">
        <v>128</v>
      </c>
      <c r="C2" s="56"/>
      <c r="E2" s="52" t="s">
        <v>221</v>
      </c>
      <c r="F2" s="52"/>
      <c r="H2" s="52" t="s">
        <v>222</v>
      </c>
      <c r="I2" s="52"/>
      <c r="K2" s="52" t="s">
        <v>223</v>
      </c>
      <c r="L2" s="52"/>
      <c r="N2" s="52" t="s">
        <v>224</v>
      </c>
      <c r="O2" s="52"/>
      <c r="Q2" s="52" t="s">
        <v>225</v>
      </c>
      <c r="R2" s="52"/>
    </row>
    <row r="3" spans="2:21" x14ac:dyDescent="0.2">
      <c r="B3" s="56"/>
      <c r="C3" s="56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2026-07-18T22:28:33Z</dcterms:modified>
</cp:coreProperties>
</file>